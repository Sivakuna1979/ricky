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 &amp; 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onthly Tracker" sheetId="3" state="visible" r:id="rId3"/>
    <sheet xmlns:r="http://schemas.openxmlformats.org/officeDocument/2006/relationships" name="Accumulation Model" sheetId="4" state="visible" r:id="rId4"/>
    <sheet xmlns:r="http://schemas.openxmlformats.org/officeDocument/2006/relationships" name="Client &amp; Retainer Tracker" sheetId="5" state="visible" r:id="rId5"/>
    <sheet xmlns:r="http://schemas.openxmlformats.org/officeDocument/2006/relationships" name="Action 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;(&quot;R$&quot; #,##0);-"/>
    <numFmt numFmtId="165" formatCode="0.0%"/>
    <numFmt numFmtId="166" formatCode="0.0"/>
    <numFmt numFmtId="167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color rgb="00000000"/>
    </font>
    <font>
      <name val="Arial"/>
      <b val="1"/>
      <color rgb="001F2937"/>
      <sz val="12"/>
    </font>
    <font>
      <name val="Arial"/>
      <b val="1"/>
      <color rgb="00000000"/>
    </font>
    <font>
      <name val="Arial"/>
      <color rgb="000000FF"/>
    </font>
    <font>
      <name val="Arial"/>
      <color rgb="00008000"/>
    </font>
    <font>
      <name val="Arial"/>
      <b val="1"/>
      <color rgb="00FFFFFF"/>
    </font>
    <font>
      <name val="Arial"/>
      <i val="1"/>
      <color rgb="006B728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2937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wrapText="1"/>
    </xf>
    <xf numFmtId="0" fontId="5" fillId="2" borderId="1" pivotButton="0" quotePrefix="0" xfId="0"/>
    <xf numFmtId="164" fontId="5" fillId="2" borderId="1" pivotButton="0" quotePrefix="0" xfId="0"/>
    <xf numFmtId="164" fontId="6" fillId="0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6" fillId="0" borderId="1" pivotButton="0" quotePrefix="0" xfId="0"/>
    <xf numFmtId="1" fontId="6" fillId="0" borderId="1" pivotButton="0" quotePrefix="0" xfId="0"/>
    <xf numFmtId="0" fontId="5" fillId="0" borderId="1" pivotButton="0" quotePrefix="0" xfId="0"/>
    <xf numFmtId="165" fontId="5" fillId="2" borderId="1" pivotButton="0" quotePrefix="0" xfId="0"/>
    <xf numFmtId="166" fontId="2" fillId="0" borderId="1" pivotButton="0" quotePrefix="0" xfId="0"/>
    <xf numFmtId="164" fontId="2" fillId="0" borderId="0" pivotButton="0" quotePrefix="0" xfId="0"/>
    <xf numFmtId="0" fontId="2" fillId="4" borderId="1" pivotButton="0" quotePrefix="0" xfId="0"/>
    <xf numFmtId="164" fontId="2" fillId="4" borderId="1" pivotButton="0" quotePrefix="0" xfId="0"/>
    <xf numFmtId="0" fontId="8" fillId="4" borderId="1" pivotButton="0" quotePrefix="0" xfId="0"/>
    <xf numFmtId="0" fontId="2" fillId="0" borderId="1" applyAlignment="1" pivotButton="0" quotePrefix="0" xfId="0">
      <alignment wrapText="1"/>
    </xf>
    <xf numFmtId="167" fontId="5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Plan Toolkit</author>
  </authors>
  <commentList>
    <comment ref="B5" authorId="0" shapeId="0">
      <text>
        <t>Manual input. Update from your own records each month.</t>
      </text>
    </comment>
    <comment ref="B7" authorId="0" shapeId="0">
      <text>
        <t>Manual input — drives the Accumulation Model's projections. Plan's illustrative example used R$7,000/month once past the R$100k stage.</t>
      </text>
    </comment>
    <comment ref="D10" authorId="0" shapeId="0">
      <text>
        <t>Source: docs/Personal_Financial_Strategic_Plan.docx, Phase 3.</t>
      </text>
    </comment>
  </commentList>
</comments>
</file>

<file path=xl/comments/comment2.xml><?xml version="1.0" encoding="utf-8"?>
<comments xmlns="http://schemas.openxmlformats.org/spreadsheetml/2006/main">
  <authors>
    <author>Plan Toolkit</author>
  </authors>
  <commentList>
    <comment ref="B7" authorId="0" shapeId="0">
      <text>
        <t>Illustrative planning input, not a guarantee. Plan's example used 9%/year nominal blended (liquid Selic-linked early, broader index exposure later).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Personal Financial Strategic Plan — Toolkit</t>
        </is>
      </c>
    </row>
    <row r="2" ht="30" customHeight="1">
      <c r="A2" s="2" t="inlineStr">
        <is>
          <t>Companion workbook to docs/Personal_Financial_Strategic_Plan.docx. Update the yellow cells; everything else recalculates automatically.</t>
        </is>
      </c>
    </row>
    <row r="4">
      <c r="A4" s="3" t="inlineStr">
        <is>
          <t>Color legend</t>
        </is>
      </c>
    </row>
    <row r="5">
      <c r="A5" s="4" t="inlineStr">
        <is>
          <t>Blue text</t>
        </is>
      </c>
      <c r="B5" s="2" t="inlineStr">
        <is>
          <t>A cell you fill in by hand (clients, monthly numbers, dates).</t>
        </is>
      </c>
    </row>
    <row r="6">
      <c r="A6" s="4" t="inlineStr">
        <is>
          <t>Yellow fill</t>
        </is>
      </c>
      <c r="B6" s="2" t="inlineStr">
        <is>
          <t>A key assumption or input the model depends on — check these first.</t>
        </is>
      </c>
    </row>
    <row r="7">
      <c r="A7" s="4" t="inlineStr">
        <is>
          <t>Green text</t>
        </is>
      </c>
      <c r="B7" s="2" t="inlineStr">
        <is>
          <t>A live link pulled from another sheet — don't overtype it.</t>
        </is>
      </c>
    </row>
    <row r="8">
      <c r="A8" s="4" t="inlineStr">
        <is>
          <t>Black text</t>
        </is>
      </c>
      <c r="B8" s="2" t="inlineStr">
        <is>
          <t>A formula. Never hardcode over these; edit the input cells instead.</t>
        </is>
      </c>
    </row>
    <row r="10">
      <c r="A10" s="3" t="inlineStr">
        <is>
          <t>What's in this workbook</t>
        </is>
      </c>
    </row>
    <row r="11">
      <c r="A11" s="4" t="inlineStr">
        <is>
          <t>Dashboard</t>
        </is>
      </c>
      <c r="B11" s="5" t="inlineStr">
        <is>
          <t>Your single-glance snapshot: current numbers, milestone progress, client pipeline vs. plan targets.</t>
        </is>
      </c>
    </row>
    <row r="12">
      <c r="A12" s="4" t="inlineStr">
        <is>
          <t>Monthly Tracker</t>
        </is>
      </c>
      <c r="B12" s="5" t="inlineStr">
        <is>
          <t>Log real income/expenses each month for 3 years. Feeds your actual net-worth trend.</t>
        </is>
      </c>
    </row>
    <row r="13">
      <c r="A13" s="4" t="inlineStr">
        <is>
          <t>Accumulation Model</t>
        </is>
      </c>
      <c r="B13" s="5" t="inlineStr">
        <is>
          <t>The R$500k/R$1M timeline from the strategic plan, but live — it recalculates from your real numbers on the Dashboard instead of the plan's illustrative R$7,000/month, 9%/year example.</t>
        </is>
      </c>
    </row>
    <row r="14">
      <c r="A14" s="4" t="inlineStr">
        <is>
          <t>Client &amp; Retainer Tracker</t>
        </is>
      </c>
      <c r="B14" s="5" t="inlineStr">
        <is>
          <t>Every client/retainer with status, so your monthly recurring revenue is always known and feeds the Dashboard automatically.</t>
        </is>
      </c>
    </row>
    <row r="15">
      <c r="A15" s="4" t="inlineStr">
        <is>
          <t>Action Checklist</t>
        </is>
      </c>
      <c r="B15" s="5" t="inlineStr">
        <is>
          <t>Every action item from the plan's Phase 5 (30/90-day/1yr/3yr goals) and the 5-point Master Enrichment Plan, with status tracking.</t>
        </is>
      </c>
    </row>
    <row r="17">
      <c r="A17" s="3" t="inlineStr">
        <is>
          <t>Monthly routine (5 minutes)</t>
        </is>
      </c>
    </row>
    <row r="18">
      <c r="A18" s="2" t="inlineStr">
        <is>
          <t>1. Update Client &amp; Retainer Tracker if anything changed (new client, lost client, status change).</t>
        </is>
      </c>
    </row>
    <row r="19">
      <c r="A19" s="2" t="inlineStr">
        <is>
          <t>2. Add this month's row to Monthly Tracker (revenue, expenses).</t>
        </is>
      </c>
    </row>
    <row r="20">
      <c r="A20" s="2" t="inlineStr">
        <is>
          <t>3. Update Dashboard's three input cells (current net worth, current MRR is automatic, current monthly savings).</t>
        </is>
      </c>
    </row>
    <row r="21">
      <c r="A21" s="2" t="inlineStr">
        <is>
          <t>4. Glance at Dashboard milestone table — Model Estimate updates itself.</t>
        </is>
      </c>
    </row>
    <row r="22">
      <c r="A22" s="2" t="inlineStr">
        <is>
          <t>5. Check off anything completed on the Action Checklist.</t>
        </is>
      </c>
    </row>
  </sheetData>
  <mergeCells count="10">
    <mergeCell ref="A4:B4"/>
    <mergeCell ref="A20:B20"/>
    <mergeCell ref="A21:B21"/>
    <mergeCell ref="A2:B2"/>
    <mergeCell ref="A19:B19"/>
    <mergeCell ref="A10:B10"/>
    <mergeCell ref="A1:B1"/>
    <mergeCell ref="A17:B17"/>
    <mergeCell ref="A18:B1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22" customWidth="1" min="4" max="4"/>
    <col width="22" customWidth="1" min="5" max="5"/>
  </cols>
  <sheetData>
    <row r="1">
      <c r="A1" s="1" t="inlineStr">
        <is>
          <t>Progress Dashboard</t>
        </is>
      </c>
    </row>
    <row r="2">
      <c r="A2" s="2" t="inlineStr">
        <is>
          <t>Last updated:</t>
        </is>
      </c>
      <c r="B2" s="6" t="inlineStr">
        <is>
          <t>2026-08-17</t>
        </is>
      </c>
    </row>
    <row r="4">
      <c r="A4" s="3" t="inlineStr">
        <is>
          <t>Your current numbers (update monthly)</t>
        </is>
      </c>
    </row>
    <row r="5">
      <c r="A5" s="2" t="inlineStr">
        <is>
          <t>Current net worth (R$)</t>
        </is>
      </c>
      <c r="B5" s="7" t="n">
        <v>0</v>
      </c>
    </row>
    <row r="6">
      <c r="A6" s="2" t="inlineStr">
        <is>
          <t>Current active monthly recurring revenue (R$)</t>
        </is>
      </c>
      <c r="B6" s="8">
        <f>'Client &amp; Retainer Tracker'!B27</f>
        <v/>
      </c>
    </row>
    <row r="7">
      <c r="A7" s="2" t="inlineStr">
        <is>
          <t>Monthly amount you're investing/saving (R$)</t>
        </is>
      </c>
      <c r="B7" s="7" t="n">
        <v>0</v>
      </c>
    </row>
    <row r="9">
      <c r="A9" s="3" t="inlineStr">
        <is>
          <t>Milestone progress</t>
        </is>
      </c>
    </row>
    <row r="10">
      <c r="A10" s="9" t="inlineStr">
        <is>
          <t>Milestone</t>
        </is>
      </c>
      <c r="B10" s="9" t="inlineStr">
        <is>
          <t>Target (R$)</t>
        </is>
      </c>
      <c r="C10" s="9" t="inlineStr">
        <is>
          <t>% complete</t>
        </is>
      </c>
      <c r="D10" s="9" t="inlineStr">
        <is>
          <t>Plan estimate
(strategic plan doc)</t>
        </is>
      </c>
      <c r="E10" s="9" t="inlineStr">
        <is>
          <t>Model estimate
(live, your numbers)</t>
        </is>
      </c>
    </row>
    <row r="11">
      <c r="A11" s="10" t="inlineStr">
        <is>
          <t>R$10,000</t>
        </is>
      </c>
      <c r="B11" s="11" t="n">
        <v>10000</v>
      </c>
      <c r="C11" s="12">
        <f>$B$5/B11</f>
        <v/>
      </c>
      <c r="D11" s="10" t="inlineStr">
        <is>
          <t>~6–9 months</t>
        </is>
      </c>
      <c r="E11" s="13">
        <f>'Accumulation Model'!D14</f>
        <v/>
      </c>
    </row>
    <row r="12">
      <c r="A12" s="10" t="inlineStr">
        <is>
          <t>R$50,000</t>
        </is>
      </c>
      <c r="B12" s="11" t="n">
        <v>50000</v>
      </c>
      <c r="C12" s="12">
        <f>$B$5/B12</f>
        <v/>
      </c>
      <c r="D12" s="10" t="inlineStr">
        <is>
          <t>~Year 2 (18–24 mo)</t>
        </is>
      </c>
      <c r="E12" s="13">
        <f>'Accumulation Model'!D15</f>
        <v/>
      </c>
    </row>
    <row r="13">
      <c r="A13" s="10" t="inlineStr">
        <is>
          <t>R$100,000</t>
        </is>
      </c>
      <c r="B13" s="11" t="n">
        <v>100000</v>
      </c>
      <c r="C13" s="12">
        <f>$B$5/B13</f>
        <v/>
      </c>
      <c r="D13" s="10" t="inlineStr">
        <is>
          <t>~Year 3</t>
        </is>
      </c>
      <c r="E13" s="13">
        <f>'Accumulation Model'!D16</f>
        <v/>
      </c>
    </row>
    <row r="14">
      <c r="A14" s="10" t="inlineStr">
        <is>
          <t>R$500,000</t>
        </is>
      </c>
      <c r="B14" s="11" t="n">
        <v>500000</v>
      </c>
      <c r="C14" s="12">
        <f>$B$5/B14</f>
        <v/>
      </c>
      <c r="D14" s="10" t="inlineStr">
        <is>
          <t>~Year 7</t>
        </is>
      </c>
      <c r="E14" s="13">
        <f>'Accumulation Model'!D17</f>
        <v/>
      </c>
    </row>
    <row r="15">
      <c r="A15" s="10" t="inlineStr">
        <is>
          <t>R$1,000,000</t>
        </is>
      </c>
      <c r="B15" s="11" t="n">
        <v>1000000</v>
      </c>
      <c r="C15" s="12">
        <f>$B$5/B15</f>
        <v/>
      </c>
      <c r="D15" s="10" t="inlineStr">
        <is>
          <t>~Year 10</t>
        </is>
      </c>
      <c r="E15" s="13">
        <f>'Accumulation Model'!D18</f>
        <v/>
      </c>
    </row>
    <row r="17">
      <c r="A17" s="3" t="inlineStr">
        <is>
          <t>Client pipeline vs. plan targets</t>
        </is>
      </c>
    </row>
    <row r="18">
      <c r="A18" s="9" t="inlineStr">
        <is>
          <t>Metric</t>
        </is>
      </c>
      <c r="B18" s="9" t="inlineStr">
        <is>
          <t>Your number</t>
        </is>
      </c>
      <c r="C18" s="9" t="inlineStr">
        <is>
          <t>Plan target</t>
        </is>
      </c>
      <c r="D18" s="9" t="inlineStr"/>
      <c r="E18" s="9" t="inlineStr"/>
    </row>
    <row r="19">
      <c r="A19" s="10" t="inlineStr">
        <is>
          <t>Active monthly recurring revenue</t>
        </is>
      </c>
      <c r="B19" s="8">
        <f>'Client &amp; Retainer Tracker'!B27</f>
        <v/>
      </c>
      <c r="C19" s="10" t="inlineStr">
        <is>
          <t>R$4,500–10,000 by 90 days–1yr</t>
        </is>
      </c>
    </row>
    <row r="20">
      <c r="A20" s="10" t="inlineStr">
        <is>
          <t>Active retainer clients</t>
        </is>
      </c>
      <c r="B20" s="8">
        <f>'Client &amp; Retainer Tracker'!B28</f>
        <v/>
      </c>
      <c r="C20" s="10" t="inlineStr">
        <is>
          <t>2–3 by 90 days</t>
        </is>
      </c>
    </row>
    <row r="21">
      <c r="A21" s="10" t="inlineStr">
        <is>
          <t>Total active monthly revenue (all clients)</t>
        </is>
      </c>
      <c r="B21" s="14">
        <f>'Client &amp; Retainer Tracker'!B29</f>
        <v/>
      </c>
      <c r="C21" s="10" t="inlineStr">
        <is>
          <t>R$8,000–10,000 by 1 year</t>
        </is>
      </c>
    </row>
  </sheetData>
  <mergeCells count="4">
    <mergeCell ref="A1:E1"/>
    <mergeCell ref="A4:E4"/>
    <mergeCell ref="A9:E9"/>
    <mergeCell ref="A17:E17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30" customWidth="1" min="8" max="8"/>
  </cols>
  <sheetData>
    <row r="1">
      <c r="A1" s="1" t="inlineStr">
        <is>
          <t>Monthly Income &amp; Net Worth Tracker (3 years)</t>
        </is>
      </c>
    </row>
    <row r="2">
      <c r="A2" s="2" t="inlineStr">
        <is>
          <t>Fill in Revenue, Business expenses and Personal expenses each month (blue cells). Everything else calculates itself.</t>
        </is>
      </c>
    </row>
    <row r="4">
      <c r="A4" s="9" t="inlineStr">
        <is>
          <t>Month</t>
        </is>
      </c>
      <c r="B4" s="9" t="inlineStr">
        <is>
          <t>Revenue (R$)</t>
        </is>
      </c>
      <c r="C4" s="9" t="inlineStr">
        <is>
          <t>Business
expenses (R$)</t>
        </is>
      </c>
      <c r="D4" s="9" t="inlineStr">
        <is>
          <t>Personal
expenses (R$)</t>
        </is>
      </c>
      <c r="E4" s="9" t="inlineStr">
        <is>
          <t>Net savings (R$)</t>
        </is>
      </c>
      <c r="F4" s="9" t="inlineStr">
        <is>
          <t>Cumulative
net worth (R$)</t>
        </is>
      </c>
      <c r="G4" s="9" t="inlineStr">
        <is>
          <t>% to R$1M</t>
        </is>
      </c>
      <c r="H4" s="9" t="inlineStr">
        <is>
          <t>Notes</t>
        </is>
      </c>
    </row>
    <row r="5">
      <c r="A5" s="10" t="inlineStr">
        <is>
          <t>Sep-2026</t>
        </is>
      </c>
      <c r="B5" s="7" t="n">
        <v>0</v>
      </c>
      <c r="C5" s="7" t="n">
        <v>0</v>
      </c>
      <c r="D5" s="7" t="n">
        <v>0</v>
      </c>
      <c r="E5" s="11">
        <f>B5-C5-D5</f>
        <v/>
      </c>
      <c r="F5" s="11">
        <f>Dashboard!$B$5+E5</f>
        <v/>
      </c>
      <c r="G5" s="12">
        <f>F5/1000000</f>
        <v/>
      </c>
      <c r="H5" s="15" t="inlineStr"/>
    </row>
    <row r="6">
      <c r="A6" s="10" t="inlineStr">
        <is>
          <t>Oct-2026</t>
        </is>
      </c>
      <c r="B6" s="7" t="n">
        <v>0</v>
      </c>
      <c r="C6" s="7" t="n">
        <v>0</v>
      </c>
      <c r="D6" s="7" t="n">
        <v>0</v>
      </c>
      <c r="E6" s="11">
        <f>B6-C6-D6</f>
        <v/>
      </c>
      <c r="F6" s="11">
        <f>F5+E6</f>
        <v/>
      </c>
      <c r="G6" s="12">
        <f>F6/1000000</f>
        <v/>
      </c>
      <c r="H6" s="15" t="inlineStr"/>
    </row>
    <row r="7">
      <c r="A7" s="10" t="inlineStr">
        <is>
          <t>Nov-2026</t>
        </is>
      </c>
      <c r="B7" s="7" t="n">
        <v>0</v>
      </c>
      <c r="C7" s="7" t="n">
        <v>0</v>
      </c>
      <c r="D7" s="7" t="n">
        <v>0</v>
      </c>
      <c r="E7" s="11">
        <f>B7-C7-D7</f>
        <v/>
      </c>
      <c r="F7" s="11">
        <f>F6+E7</f>
        <v/>
      </c>
      <c r="G7" s="12">
        <f>F7/1000000</f>
        <v/>
      </c>
      <c r="H7" s="15" t="inlineStr"/>
    </row>
    <row r="8">
      <c r="A8" s="10" t="inlineStr">
        <is>
          <t>Dec-2026</t>
        </is>
      </c>
      <c r="B8" s="7" t="n">
        <v>0</v>
      </c>
      <c r="C8" s="7" t="n">
        <v>0</v>
      </c>
      <c r="D8" s="7" t="n">
        <v>0</v>
      </c>
      <c r="E8" s="11">
        <f>B8-C8-D8</f>
        <v/>
      </c>
      <c r="F8" s="11">
        <f>F7+E8</f>
        <v/>
      </c>
      <c r="G8" s="12">
        <f>F8/1000000</f>
        <v/>
      </c>
      <c r="H8" s="15" t="inlineStr"/>
    </row>
    <row r="9">
      <c r="A9" s="10" t="inlineStr">
        <is>
          <t>Jan-2027</t>
        </is>
      </c>
      <c r="B9" s="7" t="n">
        <v>0</v>
      </c>
      <c r="C9" s="7" t="n">
        <v>0</v>
      </c>
      <c r="D9" s="7" t="n">
        <v>0</v>
      </c>
      <c r="E9" s="11">
        <f>B9-C9-D9</f>
        <v/>
      </c>
      <c r="F9" s="11">
        <f>F8+E9</f>
        <v/>
      </c>
      <c r="G9" s="12">
        <f>F9/1000000</f>
        <v/>
      </c>
      <c r="H9" s="15" t="inlineStr"/>
    </row>
    <row r="10">
      <c r="A10" s="10" t="inlineStr">
        <is>
          <t>Feb-2027</t>
        </is>
      </c>
      <c r="B10" s="7" t="n">
        <v>0</v>
      </c>
      <c r="C10" s="7" t="n">
        <v>0</v>
      </c>
      <c r="D10" s="7" t="n">
        <v>0</v>
      </c>
      <c r="E10" s="11">
        <f>B10-C10-D10</f>
        <v/>
      </c>
      <c r="F10" s="11">
        <f>F9+E10</f>
        <v/>
      </c>
      <c r="G10" s="12">
        <f>F10/1000000</f>
        <v/>
      </c>
      <c r="H10" s="15" t="inlineStr"/>
    </row>
    <row r="11">
      <c r="A11" s="10" t="inlineStr">
        <is>
          <t>Mar-2027</t>
        </is>
      </c>
      <c r="B11" s="7" t="n">
        <v>0</v>
      </c>
      <c r="C11" s="7" t="n">
        <v>0</v>
      </c>
      <c r="D11" s="7" t="n">
        <v>0</v>
      </c>
      <c r="E11" s="11">
        <f>B11-C11-D11</f>
        <v/>
      </c>
      <c r="F11" s="11">
        <f>F10+E11</f>
        <v/>
      </c>
      <c r="G11" s="12">
        <f>F11/1000000</f>
        <v/>
      </c>
      <c r="H11" s="15" t="inlineStr"/>
    </row>
    <row r="12">
      <c r="A12" s="10" t="inlineStr">
        <is>
          <t>Apr-2027</t>
        </is>
      </c>
      <c r="B12" s="7" t="n">
        <v>0</v>
      </c>
      <c r="C12" s="7" t="n">
        <v>0</v>
      </c>
      <c r="D12" s="7" t="n">
        <v>0</v>
      </c>
      <c r="E12" s="11">
        <f>B12-C12-D12</f>
        <v/>
      </c>
      <c r="F12" s="11">
        <f>F11+E12</f>
        <v/>
      </c>
      <c r="G12" s="12">
        <f>F12/1000000</f>
        <v/>
      </c>
      <c r="H12" s="15" t="inlineStr"/>
    </row>
    <row r="13">
      <c r="A13" s="10" t="inlineStr">
        <is>
          <t>May-2027</t>
        </is>
      </c>
      <c r="B13" s="7" t="n">
        <v>0</v>
      </c>
      <c r="C13" s="7" t="n">
        <v>0</v>
      </c>
      <c r="D13" s="7" t="n">
        <v>0</v>
      </c>
      <c r="E13" s="11">
        <f>B13-C13-D13</f>
        <v/>
      </c>
      <c r="F13" s="11">
        <f>F12+E13</f>
        <v/>
      </c>
      <c r="G13" s="12">
        <f>F13/1000000</f>
        <v/>
      </c>
      <c r="H13" s="15" t="inlineStr"/>
    </row>
    <row r="14">
      <c r="A14" s="10" t="inlineStr">
        <is>
          <t>Jun-2027</t>
        </is>
      </c>
      <c r="B14" s="7" t="n">
        <v>0</v>
      </c>
      <c r="C14" s="7" t="n">
        <v>0</v>
      </c>
      <c r="D14" s="7" t="n">
        <v>0</v>
      </c>
      <c r="E14" s="11">
        <f>B14-C14-D14</f>
        <v/>
      </c>
      <c r="F14" s="11">
        <f>F13+E14</f>
        <v/>
      </c>
      <c r="G14" s="12">
        <f>F14/1000000</f>
        <v/>
      </c>
      <c r="H14" s="15" t="inlineStr"/>
    </row>
    <row r="15">
      <c r="A15" s="10" t="inlineStr">
        <is>
          <t>Jul-2027</t>
        </is>
      </c>
      <c r="B15" s="7" t="n">
        <v>0</v>
      </c>
      <c r="C15" s="7" t="n">
        <v>0</v>
      </c>
      <c r="D15" s="7" t="n">
        <v>0</v>
      </c>
      <c r="E15" s="11">
        <f>B15-C15-D15</f>
        <v/>
      </c>
      <c r="F15" s="11">
        <f>F14+E15</f>
        <v/>
      </c>
      <c r="G15" s="12">
        <f>F15/1000000</f>
        <v/>
      </c>
      <c r="H15" s="15" t="inlineStr"/>
    </row>
    <row r="16">
      <c r="A16" s="10" t="inlineStr">
        <is>
          <t>Aug-2027</t>
        </is>
      </c>
      <c r="B16" s="7" t="n">
        <v>0</v>
      </c>
      <c r="C16" s="7" t="n">
        <v>0</v>
      </c>
      <c r="D16" s="7" t="n">
        <v>0</v>
      </c>
      <c r="E16" s="11">
        <f>B16-C16-D16</f>
        <v/>
      </c>
      <c r="F16" s="11">
        <f>F15+E16</f>
        <v/>
      </c>
      <c r="G16" s="12">
        <f>F16/1000000</f>
        <v/>
      </c>
      <c r="H16" s="15" t="inlineStr"/>
    </row>
    <row r="17">
      <c r="A17" s="10" t="inlineStr">
        <is>
          <t>Sep-2027</t>
        </is>
      </c>
      <c r="B17" s="7" t="n">
        <v>0</v>
      </c>
      <c r="C17" s="7" t="n">
        <v>0</v>
      </c>
      <c r="D17" s="7" t="n">
        <v>0</v>
      </c>
      <c r="E17" s="11">
        <f>B17-C17-D17</f>
        <v/>
      </c>
      <c r="F17" s="11">
        <f>F16+E17</f>
        <v/>
      </c>
      <c r="G17" s="12">
        <f>F17/1000000</f>
        <v/>
      </c>
      <c r="H17" s="15" t="inlineStr"/>
    </row>
    <row r="18">
      <c r="A18" s="10" t="inlineStr">
        <is>
          <t>Oct-2027</t>
        </is>
      </c>
      <c r="B18" s="7" t="n">
        <v>0</v>
      </c>
      <c r="C18" s="7" t="n">
        <v>0</v>
      </c>
      <c r="D18" s="7" t="n">
        <v>0</v>
      </c>
      <c r="E18" s="11">
        <f>B18-C18-D18</f>
        <v/>
      </c>
      <c r="F18" s="11">
        <f>F17+E18</f>
        <v/>
      </c>
      <c r="G18" s="12">
        <f>F18/1000000</f>
        <v/>
      </c>
      <c r="H18" s="15" t="inlineStr"/>
    </row>
    <row r="19">
      <c r="A19" s="10" t="inlineStr">
        <is>
          <t>Nov-2027</t>
        </is>
      </c>
      <c r="B19" s="7" t="n">
        <v>0</v>
      </c>
      <c r="C19" s="7" t="n">
        <v>0</v>
      </c>
      <c r="D19" s="7" t="n">
        <v>0</v>
      </c>
      <c r="E19" s="11">
        <f>B19-C19-D19</f>
        <v/>
      </c>
      <c r="F19" s="11">
        <f>F18+E19</f>
        <v/>
      </c>
      <c r="G19" s="12">
        <f>F19/1000000</f>
        <v/>
      </c>
      <c r="H19" s="15" t="inlineStr"/>
    </row>
    <row r="20">
      <c r="A20" s="10" t="inlineStr">
        <is>
          <t>Dec-2027</t>
        </is>
      </c>
      <c r="B20" s="7" t="n">
        <v>0</v>
      </c>
      <c r="C20" s="7" t="n">
        <v>0</v>
      </c>
      <c r="D20" s="7" t="n">
        <v>0</v>
      </c>
      <c r="E20" s="11">
        <f>B20-C20-D20</f>
        <v/>
      </c>
      <c r="F20" s="11">
        <f>F19+E20</f>
        <v/>
      </c>
      <c r="G20" s="12">
        <f>F20/1000000</f>
        <v/>
      </c>
      <c r="H20" s="15" t="inlineStr"/>
    </row>
    <row r="21">
      <c r="A21" s="10" t="inlineStr">
        <is>
          <t>Jan-2028</t>
        </is>
      </c>
      <c r="B21" s="7" t="n">
        <v>0</v>
      </c>
      <c r="C21" s="7" t="n">
        <v>0</v>
      </c>
      <c r="D21" s="7" t="n">
        <v>0</v>
      </c>
      <c r="E21" s="11">
        <f>B21-C21-D21</f>
        <v/>
      </c>
      <c r="F21" s="11">
        <f>F20+E21</f>
        <v/>
      </c>
      <c r="G21" s="12">
        <f>F21/1000000</f>
        <v/>
      </c>
      <c r="H21" s="15" t="inlineStr"/>
    </row>
    <row r="22">
      <c r="A22" s="10" t="inlineStr">
        <is>
          <t>Feb-2028</t>
        </is>
      </c>
      <c r="B22" s="7" t="n">
        <v>0</v>
      </c>
      <c r="C22" s="7" t="n">
        <v>0</v>
      </c>
      <c r="D22" s="7" t="n">
        <v>0</v>
      </c>
      <c r="E22" s="11">
        <f>B22-C22-D22</f>
        <v/>
      </c>
      <c r="F22" s="11">
        <f>F21+E22</f>
        <v/>
      </c>
      <c r="G22" s="12">
        <f>F22/1000000</f>
        <v/>
      </c>
      <c r="H22" s="15" t="inlineStr"/>
    </row>
    <row r="23">
      <c r="A23" s="10" t="inlineStr">
        <is>
          <t>Mar-2028</t>
        </is>
      </c>
      <c r="B23" s="7" t="n">
        <v>0</v>
      </c>
      <c r="C23" s="7" t="n">
        <v>0</v>
      </c>
      <c r="D23" s="7" t="n">
        <v>0</v>
      </c>
      <c r="E23" s="11">
        <f>B23-C23-D23</f>
        <v/>
      </c>
      <c r="F23" s="11">
        <f>F22+E23</f>
        <v/>
      </c>
      <c r="G23" s="12">
        <f>F23/1000000</f>
        <v/>
      </c>
      <c r="H23" s="15" t="inlineStr"/>
    </row>
    <row r="24">
      <c r="A24" s="10" t="inlineStr">
        <is>
          <t>Apr-2028</t>
        </is>
      </c>
      <c r="B24" s="7" t="n">
        <v>0</v>
      </c>
      <c r="C24" s="7" t="n">
        <v>0</v>
      </c>
      <c r="D24" s="7" t="n">
        <v>0</v>
      </c>
      <c r="E24" s="11">
        <f>B24-C24-D24</f>
        <v/>
      </c>
      <c r="F24" s="11">
        <f>F23+E24</f>
        <v/>
      </c>
      <c r="G24" s="12">
        <f>F24/1000000</f>
        <v/>
      </c>
      <c r="H24" s="15" t="inlineStr"/>
    </row>
    <row r="25">
      <c r="A25" s="10" t="inlineStr">
        <is>
          <t>May-2028</t>
        </is>
      </c>
      <c r="B25" s="7" t="n">
        <v>0</v>
      </c>
      <c r="C25" s="7" t="n">
        <v>0</v>
      </c>
      <c r="D25" s="7" t="n">
        <v>0</v>
      </c>
      <c r="E25" s="11">
        <f>B25-C25-D25</f>
        <v/>
      </c>
      <c r="F25" s="11">
        <f>F24+E25</f>
        <v/>
      </c>
      <c r="G25" s="12">
        <f>F25/1000000</f>
        <v/>
      </c>
      <c r="H25" s="15" t="inlineStr"/>
    </row>
    <row r="26">
      <c r="A26" s="10" t="inlineStr">
        <is>
          <t>Jun-2028</t>
        </is>
      </c>
      <c r="B26" s="7" t="n">
        <v>0</v>
      </c>
      <c r="C26" s="7" t="n">
        <v>0</v>
      </c>
      <c r="D26" s="7" t="n">
        <v>0</v>
      </c>
      <c r="E26" s="11">
        <f>B26-C26-D26</f>
        <v/>
      </c>
      <c r="F26" s="11">
        <f>F25+E26</f>
        <v/>
      </c>
      <c r="G26" s="12">
        <f>F26/1000000</f>
        <v/>
      </c>
      <c r="H26" s="15" t="inlineStr"/>
    </row>
    <row r="27">
      <c r="A27" s="10" t="inlineStr">
        <is>
          <t>Jul-2028</t>
        </is>
      </c>
      <c r="B27" s="7" t="n">
        <v>0</v>
      </c>
      <c r="C27" s="7" t="n">
        <v>0</v>
      </c>
      <c r="D27" s="7" t="n">
        <v>0</v>
      </c>
      <c r="E27" s="11">
        <f>B27-C27-D27</f>
        <v/>
      </c>
      <c r="F27" s="11">
        <f>F26+E27</f>
        <v/>
      </c>
      <c r="G27" s="12">
        <f>F27/1000000</f>
        <v/>
      </c>
      <c r="H27" s="15" t="inlineStr"/>
    </row>
    <row r="28">
      <c r="A28" s="10" t="inlineStr">
        <is>
          <t>Aug-2028</t>
        </is>
      </c>
      <c r="B28" s="7" t="n">
        <v>0</v>
      </c>
      <c r="C28" s="7" t="n">
        <v>0</v>
      </c>
      <c r="D28" s="7" t="n">
        <v>0</v>
      </c>
      <c r="E28" s="11">
        <f>B28-C28-D28</f>
        <v/>
      </c>
      <c r="F28" s="11">
        <f>F27+E28</f>
        <v/>
      </c>
      <c r="G28" s="12">
        <f>F28/1000000</f>
        <v/>
      </c>
      <c r="H28" s="15" t="inlineStr"/>
    </row>
    <row r="29">
      <c r="A29" s="10" t="inlineStr">
        <is>
          <t>Sep-2028</t>
        </is>
      </c>
      <c r="B29" s="7" t="n">
        <v>0</v>
      </c>
      <c r="C29" s="7" t="n">
        <v>0</v>
      </c>
      <c r="D29" s="7" t="n">
        <v>0</v>
      </c>
      <c r="E29" s="11">
        <f>B29-C29-D29</f>
        <v/>
      </c>
      <c r="F29" s="11">
        <f>F28+E29</f>
        <v/>
      </c>
      <c r="G29" s="12">
        <f>F29/1000000</f>
        <v/>
      </c>
      <c r="H29" s="15" t="inlineStr"/>
    </row>
    <row r="30">
      <c r="A30" s="10" t="inlineStr">
        <is>
          <t>Oct-2028</t>
        </is>
      </c>
      <c r="B30" s="7" t="n">
        <v>0</v>
      </c>
      <c r="C30" s="7" t="n">
        <v>0</v>
      </c>
      <c r="D30" s="7" t="n">
        <v>0</v>
      </c>
      <c r="E30" s="11">
        <f>B30-C30-D30</f>
        <v/>
      </c>
      <c r="F30" s="11">
        <f>F29+E30</f>
        <v/>
      </c>
      <c r="G30" s="12">
        <f>F30/1000000</f>
        <v/>
      </c>
      <c r="H30" s="15" t="inlineStr"/>
    </row>
    <row r="31">
      <c r="A31" s="10" t="inlineStr">
        <is>
          <t>Nov-2028</t>
        </is>
      </c>
      <c r="B31" s="7" t="n">
        <v>0</v>
      </c>
      <c r="C31" s="7" t="n">
        <v>0</v>
      </c>
      <c r="D31" s="7" t="n">
        <v>0</v>
      </c>
      <c r="E31" s="11">
        <f>B31-C31-D31</f>
        <v/>
      </c>
      <c r="F31" s="11">
        <f>F30+E31</f>
        <v/>
      </c>
      <c r="G31" s="12">
        <f>F31/1000000</f>
        <v/>
      </c>
      <c r="H31" s="15" t="inlineStr"/>
    </row>
    <row r="32">
      <c r="A32" s="10" t="inlineStr">
        <is>
          <t>Dec-2028</t>
        </is>
      </c>
      <c r="B32" s="7" t="n">
        <v>0</v>
      </c>
      <c r="C32" s="7" t="n">
        <v>0</v>
      </c>
      <c r="D32" s="7" t="n">
        <v>0</v>
      </c>
      <c r="E32" s="11">
        <f>B32-C32-D32</f>
        <v/>
      </c>
      <c r="F32" s="11">
        <f>F31+E32</f>
        <v/>
      </c>
      <c r="G32" s="12">
        <f>F32/1000000</f>
        <v/>
      </c>
      <c r="H32" s="15" t="inlineStr"/>
    </row>
    <row r="33">
      <c r="A33" s="10" t="inlineStr">
        <is>
          <t>Jan-2029</t>
        </is>
      </c>
      <c r="B33" s="7" t="n">
        <v>0</v>
      </c>
      <c r="C33" s="7" t="n">
        <v>0</v>
      </c>
      <c r="D33" s="7" t="n">
        <v>0</v>
      </c>
      <c r="E33" s="11">
        <f>B33-C33-D33</f>
        <v/>
      </c>
      <c r="F33" s="11">
        <f>F32+E33</f>
        <v/>
      </c>
      <c r="G33" s="12">
        <f>F33/1000000</f>
        <v/>
      </c>
      <c r="H33" s="15" t="inlineStr"/>
    </row>
    <row r="34">
      <c r="A34" s="10" t="inlineStr">
        <is>
          <t>Feb-2029</t>
        </is>
      </c>
      <c r="B34" s="7" t="n">
        <v>0</v>
      </c>
      <c r="C34" s="7" t="n">
        <v>0</v>
      </c>
      <c r="D34" s="7" t="n">
        <v>0</v>
      </c>
      <c r="E34" s="11">
        <f>B34-C34-D34</f>
        <v/>
      </c>
      <c r="F34" s="11">
        <f>F33+E34</f>
        <v/>
      </c>
      <c r="G34" s="12">
        <f>F34/1000000</f>
        <v/>
      </c>
      <c r="H34" s="15" t="inlineStr"/>
    </row>
    <row r="35">
      <c r="A35" s="10" t="inlineStr">
        <is>
          <t>Mar-2029</t>
        </is>
      </c>
      <c r="B35" s="7" t="n">
        <v>0</v>
      </c>
      <c r="C35" s="7" t="n">
        <v>0</v>
      </c>
      <c r="D35" s="7" t="n">
        <v>0</v>
      </c>
      <c r="E35" s="11">
        <f>B35-C35-D35</f>
        <v/>
      </c>
      <c r="F35" s="11">
        <f>F34+E35</f>
        <v/>
      </c>
      <c r="G35" s="12">
        <f>F35/1000000</f>
        <v/>
      </c>
      <c r="H35" s="15" t="inlineStr"/>
    </row>
    <row r="36">
      <c r="A36" s="10" t="inlineStr">
        <is>
          <t>Apr-2029</t>
        </is>
      </c>
      <c r="B36" s="7" t="n">
        <v>0</v>
      </c>
      <c r="C36" s="7" t="n">
        <v>0</v>
      </c>
      <c r="D36" s="7" t="n">
        <v>0</v>
      </c>
      <c r="E36" s="11">
        <f>B36-C36-D36</f>
        <v/>
      </c>
      <c r="F36" s="11">
        <f>F35+E36</f>
        <v/>
      </c>
      <c r="G36" s="12">
        <f>F36/1000000</f>
        <v/>
      </c>
      <c r="H36" s="15" t="inlineStr"/>
    </row>
    <row r="37">
      <c r="A37" s="10" t="inlineStr">
        <is>
          <t>May-2029</t>
        </is>
      </c>
      <c r="B37" s="7" t="n">
        <v>0</v>
      </c>
      <c r="C37" s="7" t="n">
        <v>0</v>
      </c>
      <c r="D37" s="7" t="n">
        <v>0</v>
      </c>
      <c r="E37" s="11">
        <f>B37-C37-D37</f>
        <v/>
      </c>
      <c r="F37" s="11">
        <f>F36+E37</f>
        <v/>
      </c>
      <c r="G37" s="12">
        <f>F37/1000000</f>
        <v/>
      </c>
      <c r="H37" s="15" t="inlineStr"/>
    </row>
    <row r="38">
      <c r="A38" s="10" t="inlineStr">
        <is>
          <t>Jun-2029</t>
        </is>
      </c>
      <c r="B38" s="7" t="n">
        <v>0</v>
      </c>
      <c r="C38" s="7" t="n">
        <v>0</v>
      </c>
      <c r="D38" s="7" t="n">
        <v>0</v>
      </c>
      <c r="E38" s="11">
        <f>B38-C38-D38</f>
        <v/>
      </c>
      <c r="F38" s="11">
        <f>F37+E38</f>
        <v/>
      </c>
      <c r="G38" s="12">
        <f>F38/1000000</f>
        <v/>
      </c>
      <c r="H38" s="15" t="inlineStr"/>
    </row>
    <row r="39">
      <c r="A39" s="10" t="inlineStr">
        <is>
          <t>Jul-2029</t>
        </is>
      </c>
      <c r="B39" s="7" t="n">
        <v>0</v>
      </c>
      <c r="C39" s="7" t="n">
        <v>0</v>
      </c>
      <c r="D39" s="7" t="n">
        <v>0</v>
      </c>
      <c r="E39" s="11">
        <f>B39-C39-D39</f>
        <v/>
      </c>
      <c r="F39" s="11">
        <f>F38+E39</f>
        <v/>
      </c>
      <c r="G39" s="12">
        <f>F39/1000000</f>
        <v/>
      </c>
      <c r="H39" s="15" t="inlineStr"/>
    </row>
    <row r="40">
      <c r="A40" s="10" t="inlineStr">
        <is>
          <t>Aug-2029</t>
        </is>
      </c>
      <c r="B40" s="7" t="n">
        <v>0</v>
      </c>
      <c r="C40" s="7" t="n">
        <v>0</v>
      </c>
      <c r="D40" s="7" t="n">
        <v>0</v>
      </c>
      <c r="E40" s="11">
        <f>B40-C40-D40</f>
        <v/>
      </c>
      <c r="F40" s="11">
        <f>F39+E40</f>
        <v/>
      </c>
      <c r="G40" s="12">
        <f>F40/1000000</f>
        <v/>
      </c>
      <c r="H40" s="1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4" customWidth="1" min="4" max="4"/>
    <col width="22" customWidth="1" min="5" max="5"/>
    <col width="12" customWidth="1" min="6" max="6"/>
  </cols>
  <sheetData>
    <row r="1">
      <c r="A1" s="1" t="inlineStr">
        <is>
          <t>Accumulation Model (live)</t>
        </is>
      </c>
    </row>
    <row r="2">
      <c r="A2" s="2" t="inlineStr">
        <is>
          <t>Same model as the strategic plan's Phase 3, but driven by your real Dashboard numbers instead of the plan's illustrative example.</t>
        </is>
      </c>
    </row>
    <row r="4">
      <c r="A4" s="3" t="inlineStr">
        <is>
          <t>Assumptions</t>
        </is>
      </c>
    </row>
    <row r="5">
      <c r="A5" s="2" t="inlineStr">
        <is>
          <t>Starting net worth (R$)</t>
        </is>
      </c>
      <c r="B5" s="8">
        <f>Dashboard!B5</f>
        <v/>
      </c>
    </row>
    <row r="6">
      <c r="A6" s="2" t="inlineStr">
        <is>
          <t>Monthly contribution (R$)</t>
        </is>
      </c>
      <c r="B6" s="8">
        <f>Dashboard!B7</f>
        <v/>
      </c>
    </row>
    <row r="7">
      <c r="A7" s="2" t="inlineStr">
        <is>
          <t>Annual return assumption</t>
        </is>
      </c>
      <c r="B7" s="16" t="n">
        <v>0.09</v>
      </c>
    </row>
    <row r="9">
      <c r="A9" s="3" t="inlineStr">
        <is>
          <t>Milestone timeline (recalculates from your numbers above)</t>
        </is>
      </c>
    </row>
    <row r="13">
      <c r="A13" s="9" t="inlineStr">
        <is>
          <t>Milestone</t>
        </is>
      </c>
      <c r="B13" s="9" t="inlineStr">
        <is>
          <t>Target (R$)</t>
        </is>
      </c>
      <c r="C13" s="9" t="inlineStr">
        <is>
          <t>Month
reached</t>
        </is>
      </c>
      <c r="D13" s="9" t="inlineStr">
        <is>
          <t>Years
reached</t>
        </is>
      </c>
      <c r="E13" s="9" t="inlineStr">
        <is>
          <t>Plan estimate
(strategic plan doc)</t>
        </is>
      </c>
    </row>
    <row r="14">
      <c r="A14" s="10" t="inlineStr">
        <is>
          <t>R$10,000</t>
        </is>
      </c>
      <c r="B14" s="11" t="n">
        <v>10000</v>
      </c>
      <c r="C14" s="10">
        <f>COUNTIF($B$22:$B$261,"&lt;"&amp;B14)+1</f>
        <v/>
      </c>
      <c r="D14" s="17">
        <f>C14/12</f>
        <v/>
      </c>
      <c r="E14" s="10" t="inlineStr">
        <is>
          <t>~6–9 months</t>
        </is>
      </c>
    </row>
    <row r="15">
      <c r="A15" s="10" t="inlineStr">
        <is>
          <t>R$50,000</t>
        </is>
      </c>
      <c r="B15" s="11" t="n">
        <v>50000</v>
      </c>
      <c r="C15" s="10">
        <f>COUNTIF($B$22:$B$261,"&lt;"&amp;B15)+1</f>
        <v/>
      </c>
      <c r="D15" s="17">
        <f>C15/12</f>
        <v/>
      </c>
      <c r="E15" s="10" t="inlineStr">
        <is>
          <t>~Year 2 (18–24 mo)</t>
        </is>
      </c>
    </row>
    <row r="16">
      <c r="A16" s="10" t="inlineStr">
        <is>
          <t>R$100,000</t>
        </is>
      </c>
      <c r="B16" s="11" t="n">
        <v>100000</v>
      </c>
      <c r="C16" s="10">
        <f>COUNTIF($B$22:$B$261,"&lt;"&amp;B16)+1</f>
        <v/>
      </c>
      <c r="D16" s="17">
        <f>C16/12</f>
        <v/>
      </c>
      <c r="E16" s="10" t="inlineStr">
        <is>
          <t>~Year 3</t>
        </is>
      </c>
    </row>
    <row r="17">
      <c r="A17" s="10" t="inlineStr">
        <is>
          <t>R$500,000</t>
        </is>
      </c>
      <c r="B17" s="11" t="n">
        <v>500000</v>
      </c>
      <c r="C17" s="10">
        <f>COUNTIF($B$22:$B$261,"&lt;"&amp;B17)+1</f>
        <v/>
      </c>
      <c r="D17" s="17">
        <f>C17/12</f>
        <v/>
      </c>
      <c r="E17" s="10" t="inlineStr">
        <is>
          <t>~Year 7</t>
        </is>
      </c>
    </row>
    <row r="18">
      <c r="A18" s="10" t="inlineStr">
        <is>
          <t>R$1,000,000</t>
        </is>
      </c>
      <c r="B18" s="11" t="n">
        <v>1000000</v>
      </c>
      <c r="C18" s="10">
        <f>COUNTIF($B$22:$B$261,"&lt;"&amp;B18)+1</f>
        <v/>
      </c>
      <c r="D18" s="17">
        <f>C18/12</f>
        <v/>
      </c>
      <c r="E18" s="10" t="inlineStr">
        <is>
          <t>~Year 10</t>
        </is>
      </c>
    </row>
    <row r="20">
      <c r="A20" s="3" t="inlineStr">
        <is>
          <t>20-year monthly projection</t>
        </is>
      </c>
    </row>
    <row r="21">
      <c r="A21" s="9" t="inlineStr">
        <is>
          <t>Month #</t>
        </is>
      </c>
      <c r="B21" s="9" t="inlineStr">
        <is>
          <t>Balance (R$)</t>
        </is>
      </c>
      <c r="C21" s="9" t="inlineStr"/>
      <c r="D21" s="9" t="inlineStr"/>
      <c r="E21" s="9" t="inlineStr"/>
    </row>
    <row r="22">
      <c r="A22" s="2" t="n">
        <v>1</v>
      </c>
      <c r="B22" s="18">
        <f>$B$5*(1+$B$7/12)+$B$6</f>
        <v/>
      </c>
    </row>
    <row r="23">
      <c r="A23" s="2" t="n">
        <v>2</v>
      </c>
      <c r="B23" s="18">
        <f>B22*(1+$B$7/12)+$B$6</f>
        <v/>
      </c>
    </row>
    <row r="24">
      <c r="A24" s="2" t="n">
        <v>3</v>
      </c>
      <c r="B24" s="18">
        <f>B23*(1+$B$7/12)+$B$6</f>
        <v/>
      </c>
    </row>
    <row r="25">
      <c r="A25" s="2" t="n">
        <v>4</v>
      </c>
      <c r="B25" s="18">
        <f>B24*(1+$B$7/12)+$B$6</f>
        <v/>
      </c>
    </row>
    <row r="26">
      <c r="A26" s="2" t="n">
        <v>5</v>
      </c>
      <c r="B26" s="18">
        <f>B25*(1+$B$7/12)+$B$6</f>
        <v/>
      </c>
    </row>
    <row r="27">
      <c r="A27" s="2" t="n">
        <v>6</v>
      </c>
      <c r="B27" s="18">
        <f>B26*(1+$B$7/12)+$B$6</f>
        <v/>
      </c>
    </row>
    <row r="28">
      <c r="A28" s="2" t="n">
        <v>7</v>
      </c>
      <c r="B28" s="18">
        <f>B27*(1+$B$7/12)+$B$6</f>
        <v/>
      </c>
    </row>
    <row r="29">
      <c r="A29" s="2" t="n">
        <v>8</v>
      </c>
      <c r="B29" s="18">
        <f>B28*(1+$B$7/12)+$B$6</f>
        <v/>
      </c>
    </row>
    <row r="30">
      <c r="A30" s="2" t="n">
        <v>9</v>
      </c>
      <c r="B30" s="18">
        <f>B29*(1+$B$7/12)+$B$6</f>
        <v/>
      </c>
    </row>
    <row r="31">
      <c r="A31" s="2" t="n">
        <v>10</v>
      </c>
      <c r="B31" s="18">
        <f>B30*(1+$B$7/12)+$B$6</f>
        <v/>
      </c>
    </row>
    <row r="32">
      <c r="A32" s="2" t="n">
        <v>11</v>
      </c>
      <c r="B32" s="18">
        <f>B31*(1+$B$7/12)+$B$6</f>
        <v/>
      </c>
    </row>
    <row r="33">
      <c r="A33" s="2" t="n">
        <v>12</v>
      </c>
      <c r="B33" s="18">
        <f>B32*(1+$B$7/12)+$B$6</f>
        <v/>
      </c>
    </row>
    <row r="34">
      <c r="A34" s="2" t="n">
        <v>13</v>
      </c>
      <c r="B34" s="18">
        <f>B33*(1+$B$7/12)+$B$6</f>
        <v/>
      </c>
    </row>
    <row r="35">
      <c r="A35" s="2" t="n">
        <v>14</v>
      </c>
      <c r="B35" s="18">
        <f>B34*(1+$B$7/12)+$B$6</f>
        <v/>
      </c>
    </row>
    <row r="36">
      <c r="A36" s="2" t="n">
        <v>15</v>
      </c>
      <c r="B36" s="18">
        <f>B35*(1+$B$7/12)+$B$6</f>
        <v/>
      </c>
    </row>
    <row r="37">
      <c r="A37" s="2" t="n">
        <v>16</v>
      </c>
      <c r="B37" s="18">
        <f>B36*(1+$B$7/12)+$B$6</f>
        <v/>
      </c>
    </row>
    <row r="38">
      <c r="A38" s="2" t="n">
        <v>17</v>
      </c>
      <c r="B38" s="18">
        <f>B37*(1+$B$7/12)+$B$6</f>
        <v/>
      </c>
    </row>
    <row r="39">
      <c r="A39" s="2" t="n">
        <v>18</v>
      </c>
      <c r="B39" s="18">
        <f>B38*(1+$B$7/12)+$B$6</f>
        <v/>
      </c>
    </row>
    <row r="40">
      <c r="A40" s="2" t="n">
        <v>19</v>
      </c>
      <c r="B40" s="18">
        <f>B39*(1+$B$7/12)+$B$6</f>
        <v/>
      </c>
    </row>
    <row r="41">
      <c r="A41" s="2" t="n">
        <v>20</v>
      </c>
      <c r="B41" s="18">
        <f>B40*(1+$B$7/12)+$B$6</f>
        <v/>
      </c>
    </row>
    <row r="42">
      <c r="A42" s="2" t="n">
        <v>21</v>
      </c>
      <c r="B42" s="18">
        <f>B41*(1+$B$7/12)+$B$6</f>
        <v/>
      </c>
    </row>
    <row r="43">
      <c r="A43" s="2" t="n">
        <v>22</v>
      </c>
      <c r="B43" s="18">
        <f>B42*(1+$B$7/12)+$B$6</f>
        <v/>
      </c>
    </row>
    <row r="44">
      <c r="A44" s="2" t="n">
        <v>23</v>
      </c>
      <c r="B44" s="18">
        <f>B43*(1+$B$7/12)+$B$6</f>
        <v/>
      </c>
    </row>
    <row r="45">
      <c r="A45" s="2" t="n">
        <v>24</v>
      </c>
      <c r="B45" s="18">
        <f>B44*(1+$B$7/12)+$B$6</f>
        <v/>
      </c>
    </row>
    <row r="46">
      <c r="A46" s="2" t="n">
        <v>25</v>
      </c>
      <c r="B46" s="18">
        <f>B45*(1+$B$7/12)+$B$6</f>
        <v/>
      </c>
    </row>
    <row r="47">
      <c r="A47" s="2" t="n">
        <v>26</v>
      </c>
      <c r="B47" s="18">
        <f>B46*(1+$B$7/12)+$B$6</f>
        <v/>
      </c>
    </row>
    <row r="48">
      <c r="A48" s="2" t="n">
        <v>27</v>
      </c>
      <c r="B48" s="18">
        <f>B47*(1+$B$7/12)+$B$6</f>
        <v/>
      </c>
    </row>
    <row r="49">
      <c r="A49" s="2" t="n">
        <v>28</v>
      </c>
      <c r="B49" s="18">
        <f>B48*(1+$B$7/12)+$B$6</f>
        <v/>
      </c>
    </row>
    <row r="50">
      <c r="A50" s="2" t="n">
        <v>29</v>
      </c>
      <c r="B50" s="18">
        <f>B49*(1+$B$7/12)+$B$6</f>
        <v/>
      </c>
    </row>
    <row r="51">
      <c r="A51" s="2" t="n">
        <v>30</v>
      </c>
      <c r="B51" s="18">
        <f>B50*(1+$B$7/12)+$B$6</f>
        <v/>
      </c>
    </row>
    <row r="52">
      <c r="A52" s="2" t="n">
        <v>31</v>
      </c>
      <c r="B52" s="18">
        <f>B51*(1+$B$7/12)+$B$6</f>
        <v/>
      </c>
    </row>
    <row r="53">
      <c r="A53" s="2" t="n">
        <v>32</v>
      </c>
      <c r="B53" s="18">
        <f>B52*(1+$B$7/12)+$B$6</f>
        <v/>
      </c>
    </row>
    <row r="54">
      <c r="A54" s="2" t="n">
        <v>33</v>
      </c>
      <c r="B54" s="18">
        <f>B53*(1+$B$7/12)+$B$6</f>
        <v/>
      </c>
    </row>
    <row r="55">
      <c r="A55" s="2" t="n">
        <v>34</v>
      </c>
      <c r="B55" s="18">
        <f>B54*(1+$B$7/12)+$B$6</f>
        <v/>
      </c>
    </row>
    <row r="56">
      <c r="A56" s="2" t="n">
        <v>35</v>
      </c>
      <c r="B56" s="18">
        <f>B55*(1+$B$7/12)+$B$6</f>
        <v/>
      </c>
    </row>
    <row r="57">
      <c r="A57" s="2" t="n">
        <v>36</v>
      </c>
      <c r="B57" s="18">
        <f>B56*(1+$B$7/12)+$B$6</f>
        <v/>
      </c>
    </row>
    <row r="58">
      <c r="A58" s="2" t="n">
        <v>37</v>
      </c>
      <c r="B58" s="18">
        <f>B57*(1+$B$7/12)+$B$6</f>
        <v/>
      </c>
    </row>
    <row r="59">
      <c r="A59" s="2" t="n">
        <v>38</v>
      </c>
      <c r="B59" s="18">
        <f>B58*(1+$B$7/12)+$B$6</f>
        <v/>
      </c>
    </row>
    <row r="60">
      <c r="A60" s="2" t="n">
        <v>39</v>
      </c>
      <c r="B60" s="18">
        <f>B59*(1+$B$7/12)+$B$6</f>
        <v/>
      </c>
    </row>
    <row r="61">
      <c r="A61" s="2" t="n">
        <v>40</v>
      </c>
      <c r="B61" s="18">
        <f>B60*(1+$B$7/12)+$B$6</f>
        <v/>
      </c>
    </row>
    <row r="62">
      <c r="A62" s="2" t="n">
        <v>41</v>
      </c>
      <c r="B62" s="18">
        <f>B61*(1+$B$7/12)+$B$6</f>
        <v/>
      </c>
    </row>
    <row r="63">
      <c r="A63" s="2" t="n">
        <v>42</v>
      </c>
      <c r="B63" s="18">
        <f>B62*(1+$B$7/12)+$B$6</f>
        <v/>
      </c>
    </row>
    <row r="64">
      <c r="A64" s="2" t="n">
        <v>43</v>
      </c>
      <c r="B64" s="18">
        <f>B63*(1+$B$7/12)+$B$6</f>
        <v/>
      </c>
    </row>
    <row r="65">
      <c r="A65" s="2" t="n">
        <v>44</v>
      </c>
      <c r="B65" s="18">
        <f>B64*(1+$B$7/12)+$B$6</f>
        <v/>
      </c>
    </row>
    <row r="66">
      <c r="A66" s="2" t="n">
        <v>45</v>
      </c>
      <c r="B66" s="18">
        <f>B65*(1+$B$7/12)+$B$6</f>
        <v/>
      </c>
    </row>
    <row r="67">
      <c r="A67" s="2" t="n">
        <v>46</v>
      </c>
      <c r="B67" s="18">
        <f>B66*(1+$B$7/12)+$B$6</f>
        <v/>
      </c>
    </row>
    <row r="68">
      <c r="A68" s="2" t="n">
        <v>47</v>
      </c>
      <c r="B68" s="18">
        <f>B67*(1+$B$7/12)+$B$6</f>
        <v/>
      </c>
    </row>
    <row r="69">
      <c r="A69" s="2" t="n">
        <v>48</v>
      </c>
      <c r="B69" s="18">
        <f>B68*(1+$B$7/12)+$B$6</f>
        <v/>
      </c>
    </row>
    <row r="70">
      <c r="A70" s="2" t="n">
        <v>49</v>
      </c>
      <c r="B70" s="18">
        <f>B69*(1+$B$7/12)+$B$6</f>
        <v/>
      </c>
    </row>
    <row r="71">
      <c r="A71" s="2" t="n">
        <v>50</v>
      </c>
      <c r="B71" s="18">
        <f>B70*(1+$B$7/12)+$B$6</f>
        <v/>
      </c>
    </row>
    <row r="72">
      <c r="A72" s="2" t="n">
        <v>51</v>
      </c>
      <c r="B72" s="18">
        <f>B71*(1+$B$7/12)+$B$6</f>
        <v/>
      </c>
    </row>
    <row r="73">
      <c r="A73" s="2" t="n">
        <v>52</v>
      </c>
      <c r="B73" s="18">
        <f>B72*(1+$B$7/12)+$B$6</f>
        <v/>
      </c>
    </row>
    <row r="74">
      <c r="A74" s="2" t="n">
        <v>53</v>
      </c>
      <c r="B74" s="18">
        <f>B73*(1+$B$7/12)+$B$6</f>
        <v/>
      </c>
    </row>
    <row r="75">
      <c r="A75" s="2" t="n">
        <v>54</v>
      </c>
      <c r="B75" s="18">
        <f>B74*(1+$B$7/12)+$B$6</f>
        <v/>
      </c>
    </row>
    <row r="76">
      <c r="A76" s="2" t="n">
        <v>55</v>
      </c>
      <c r="B76" s="18">
        <f>B75*(1+$B$7/12)+$B$6</f>
        <v/>
      </c>
    </row>
    <row r="77">
      <c r="A77" s="2" t="n">
        <v>56</v>
      </c>
      <c r="B77" s="18">
        <f>B76*(1+$B$7/12)+$B$6</f>
        <v/>
      </c>
    </row>
    <row r="78">
      <c r="A78" s="2" t="n">
        <v>57</v>
      </c>
      <c r="B78" s="18">
        <f>B77*(1+$B$7/12)+$B$6</f>
        <v/>
      </c>
    </row>
    <row r="79">
      <c r="A79" s="2" t="n">
        <v>58</v>
      </c>
      <c r="B79" s="18">
        <f>B78*(1+$B$7/12)+$B$6</f>
        <v/>
      </c>
    </row>
    <row r="80">
      <c r="A80" s="2" t="n">
        <v>59</v>
      </c>
      <c r="B80" s="18">
        <f>B79*(1+$B$7/12)+$B$6</f>
        <v/>
      </c>
    </row>
    <row r="81">
      <c r="A81" s="2" t="n">
        <v>60</v>
      </c>
      <c r="B81" s="18">
        <f>B80*(1+$B$7/12)+$B$6</f>
        <v/>
      </c>
    </row>
    <row r="82">
      <c r="A82" s="2" t="n">
        <v>61</v>
      </c>
      <c r="B82" s="18">
        <f>B81*(1+$B$7/12)+$B$6</f>
        <v/>
      </c>
    </row>
    <row r="83">
      <c r="A83" s="2" t="n">
        <v>62</v>
      </c>
      <c r="B83" s="18">
        <f>B82*(1+$B$7/12)+$B$6</f>
        <v/>
      </c>
    </row>
    <row r="84">
      <c r="A84" s="2" t="n">
        <v>63</v>
      </c>
      <c r="B84" s="18">
        <f>B83*(1+$B$7/12)+$B$6</f>
        <v/>
      </c>
    </row>
    <row r="85">
      <c r="A85" s="2" t="n">
        <v>64</v>
      </c>
      <c r="B85" s="18">
        <f>B84*(1+$B$7/12)+$B$6</f>
        <v/>
      </c>
    </row>
    <row r="86">
      <c r="A86" s="2" t="n">
        <v>65</v>
      </c>
      <c r="B86" s="18">
        <f>B85*(1+$B$7/12)+$B$6</f>
        <v/>
      </c>
    </row>
    <row r="87">
      <c r="A87" s="2" t="n">
        <v>66</v>
      </c>
      <c r="B87" s="18">
        <f>B86*(1+$B$7/12)+$B$6</f>
        <v/>
      </c>
    </row>
    <row r="88">
      <c r="A88" s="2" t="n">
        <v>67</v>
      </c>
      <c r="B88" s="18">
        <f>B87*(1+$B$7/12)+$B$6</f>
        <v/>
      </c>
    </row>
    <row r="89">
      <c r="A89" s="2" t="n">
        <v>68</v>
      </c>
      <c r="B89" s="18">
        <f>B88*(1+$B$7/12)+$B$6</f>
        <v/>
      </c>
    </row>
    <row r="90">
      <c r="A90" s="2" t="n">
        <v>69</v>
      </c>
      <c r="B90" s="18">
        <f>B89*(1+$B$7/12)+$B$6</f>
        <v/>
      </c>
    </row>
    <row r="91">
      <c r="A91" s="2" t="n">
        <v>70</v>
      </c>
      <c r="B91" s="18">
        <f>B90*(1+$B$7/12)+$B$6</f>
        <v/>
      </c>
    </row>
    <row r="92">
      <c r="A92" s="2" t="n">
        <v>71</v>
      </c>
      <c r="B92" s="18">
        <f>B91*(1+$B$7/12)+$B$6</f>
        <v/>
      </c>
    </row>
    <row r="93">
      <c r="A93" s="2" t="n">
        <v>72</v>
      </c>
      <c r="B93" s="18">
        <f>B92*(1+$B$7/12)+$B$6</f>
        <v/>
      </c>
    </row>
    <row r="94">
      <c r="A94" s="2" t="n">
        <v>73</v>
      </c>
      <c r="B94" s="18">
        <f>B93*(1+$B$7/12)+$B$6</f>
        <v/>
      </c>
    </row>
    <row r="95">
      <c r="A95" s="2" t="n">
        <v>74</v>
      </c>
      <c r="B95" s="18">
        <f>B94*(1+$B$7/12)+$B$6</f>
        <v/>
      </c>
    </row>
    <row r="96">
      <c r="A96" s="2" t="n">
        <v>75</v>
      </c>
      <c r="B96" s="18">
        <f>B95*(1+$B$7/12)+$B$6</f>
        <v/>
      </c>
    </row>
    <row r="97">
      <c r="A97" s="2" t="n">
        <v>76</v>
      </c>
      <c r="B97" s="18">
        <f>B96*(1+$B$7/12)+$B$6</f>
        <v/>
      </c>
    </row>
    <row r="98">
      <c r="A98" s="2" t="n">
        <v>77</v>
      </c>
      <c r="B98" s="18">
        <f>B97*(1+$B$7/12)+$B$6</f>
        <v/>
      </c>
    </row>
    <row r="99">
      <c r="A99" s="2" t="n">
        <v>78</v>
      </c>
      <c r="B99" s="18">
        <f>B98*(1+$B$7/12)+$B$6</f>
        <v/>
      </c>
    </row>
    <row r="100">
      <c r="A100" s="2" t="n">
        <v>79</v>
      </c>
      <c r="B100" s="18">
        <f>B99*(1+$B$7/12)+$B$6</f>
        <v/>
      </c>
    </row>
    <row r="101">
      <c r="A101" s="2" t="n">
        <v>80</v>
      </c>
      <c r="B101" s="18">
        <f>B100*(1+$B$7/12)+$B$6</f>
        <v/>
      </c>
    </row>
    <row r="102">
      <c r="A102" s="2" t="n">
        <v>81</v>
      </c>
      <c r="B102" s="18">
        <f>B101*(1+$B$7/12)+$B$6</f>
        <v/>
      </c>
    </row>
    <row r="103">
      <c r="A103" s="2" t="n">
        <v>82</v>
      </c>
      <c r="B103" s="18">
        <f>B102*(1+$B$7/12)+$B$6</f>
        <v/>
      </c>
    </row>
    <row r="104">
      <c r="A104" s="2" t="n">
        <v>83</v>
      </c>
      <c r="B104" s="18">
        <f>B103*(1+$B$7/12)+$B$6</f>
        <v/>
      </c>
    </row>
    <row r="105">
      <c r="A105" s="2" t="n">
        <v>84</v>
      </c>
      <c r="B105" s="18">
        <f>B104*(1+$B$7/12)+$B$6</f>
        <v/>
      </c>
    </row>
    <row r="106">
      <c r="A106" s="2" t="n">
        <v>85</v>
      </c>
      <c r="B106" s="18">
        <f>B105*(1+$B$7/12)+$B$6</f>
        <v/>
      </c>
    </row>
    <row r="107">
      <c r="A107" s="2" t="n">
        <v>86</v>
      </c>
      <c r="B107" s="18">
        <f>B106*(1+$B$7/12)+$B$6</f>
        <v/>
      </c>
    </row>
    <row r="108">
      <c r="A108" s="2" t="n">
        <v>87</v>
      </c>
      <c r="B108" s="18">
        <f>B107*(1+$B$7/12)+$B$6</f>
        <v/>
      </c>
    </row>
    <row r="109">
      <c r="A109" s="2" t="n">
        <v>88</v>
      </c>
      <c r="B109" s="18">
        <f>B108*(1+$B$7/12)+$B$6</f>
        <v/>
      </c>
    </row>
    <row r="110">
      <c r="A110" s="2" t="n">
        <v>89</v>
      </c>
      <c r="B110" s="18">
        <f>B109*(1+$B$7/12)+$B$6</f>
        <v/>
      </c>
    </row>
    <row r="111">
      <c r="A111" s="2" t="n">
        <v>90</v>
      </c>
      <c r="B111" s="18">
        <f>B110*(1+$B$7/12)+$B$6</f>
        <v/>
      </c>
    </row>
    <row r="112">
      <c r="A112" s="2" t="n">
        <v>91</v>
      </c>
      <c r="B112" s="18">
        <f>B111*(1+$B$7/12)+$B$6</f>
        <v/>
      </c>
    </row>
    <row r="113">
      <c r="A113" s="2" t="n">
        <v>92</v>
      </c>
      <c r="B113" s="18">
        <f>B112*(1+$B$7/12)+$B$6</f>
        <v/>
      </c>
    </row>
    <row r="114">
      <c r="A114" s="2" t="n">
        <v>93</v>
      </c>
      <c r="B114" s="18">
        <f>B113*(1+$B$7/12)+$B$6</f>
        <v/>
      </c>
    </row>
    <row r="115">
      <c r="A115" s="2" t="n">
        <v>94</v>
      </c>
      <c r="B115" s="18">
        <f>B114*(1+$B$7/12)+$B$6</f>
        <v/>
      </c>
    </row>
    <row r="116">
      <c r="A116" s="2" t="n">
        <v>95</v>
      </c>
      <c r="B116" s="18">
        <f>B115*(1+$B$7/12)+$B$6</f>
        <v/>
      </c>
    </row>
    <row r="117">
      <c r="A117" s="2" t="n">
        <v>96</v>
      </c>
      <c r="B117" s="18">
        <f>B116*(1+$B$7/12)+$B$6</f>
        <v/>
      </c>
    </row>
    <row r="118">
      <c r="A118" s="2" t="n">
        <v>97</v>
      </c>
      <c r="B118" s="18">
        <f>B117*(1+$B$7/12)+$B$6</f>
        <v/>
      </c>
    </row>
    <row r="119">
      <c r="A119" s="2" t="n">
        <v>98</v>
      </c>
      <c r="B119" s="18">
        <f>B118*(1+$B$7/12)+$B$6</f>
        <v/>
      </c>
    </row>
    <row r="120">
      <c r="A120" s="2" t="n">
        <v>99</v>
      </c>
      <c r="B120" s="18">
        <f>B119*(1+$B$7/12)+$B$6</f>
        <v/>
      </c>
    </row>
    <row r="121">
      <c r="A121" s="2" t="n">
        <v>100</v>
      </c>
      <c r="B121" s="18">
        <f>B120*(1+$B$7/12)+$B$6</f>
        <v/>
      </c>
    </row>
    <row r="122">
      <c r="A122" s="2" t="n">
        <v>101</v>
      </c>
      <c r="B122" s="18">
        <f>B121*(1+$B$7/12)+$B$6</f>
        <v/>
      </c>
    </row>
    <row r="123">
      <c r="A123" s="2" t="n">
        <v>102</v>
      </c>
      <c r="B123" s="18">
        <f>B122*(1+$B$7/12)+$B$6</f>
        <v/>
      </c>
    </row>
    <row r="124">
      <c r="A124" s="2" t="n">
        <v>103</v>
      </c>
      <c r="B124" s="18">
        <f>B123*(1+$B$7/12)+$B$6</f>
        <v/>
      </c>
    </row>
    <row r="125">
      <c r="A125" s="2" t="n">
        <v>104</v>
      </c>
      <c r="B125" s="18">
        <f>B124*(1+$B$7/12)+$B$6</f>
        <v/>
      </c>
    </row>
    <row r="126">
      <c r="A126" s="2" t="n">
        <v>105</v>
      </c>
      <c r="B126" s="18">
        <f>B125*(1+$B$7/12)+$B$6</f>
        <v/>
      </c>
    </row>
    <row r="127">
      <c r="A127" s="2" t="n">
        <v>106</v>
      </c>
      <c r="B127" s="18">
        <f>B126*(1+$B$7/12)+$B$6</f>
        <v/>
      </c>
    </row>
    <row r="128">
      <c r="A128" s="2" t="n">
        <v>107</v>
      </c>
      <c r="B128" s="18">
        <f>B127*(1+$B$7/12)+$B$6</f>
        <v/>
      </c>
    </row>
    <row r="129">
      <c r="A129" s="2" t="n">
        <v>108</v>
      </c>
      <c r="B129" s="18">
        <f>B128*(1+$B$7/12)+$B$6</f>
        <v/>
      </c>
    </row>
    <row r="130">
      <c r="A130" s="2" t="n">
        <v>109</v>
      </c>
      <c r="B130" s="18">
        <f>B129*(1+$B$7/12)+$B$6</f>
        <v/>
      </c>
    </row>
    <row r="131">
      <c r="A131" s="2" t="n">
        <v>110</v>
      </c>
      <c r="B131" s="18">
        <f>B130*(1+$B$7/12)+$B$6</f>
        <v/>
      </c>
    </row>
    <row r="132">
      <c r="A132" s="2" t="n">
        <v>111</v>
      </c>
      <c r="B132" s="18">
        <f>B131*(1+$B$7/12)+$B$6</f>
        <v/>
      </c>
    </row>
    <row r="133">
      <c r="A133" s="2" t="n">
        <v>112</v>
      </c>
      <c r="B133" s="18">
        <f>B132*(1+$B$7/12)+$B$6</f>
        <v/>
      </c>
    </row>
    <row r="134">
      <c r="A134" s="2" t="n">
        <v>113</v>
      </c>
      <c r="B134" s="18">
        <f>B133*(1+$B$7/12)+$B$6</f>
        <v/>
      </c>
    </row>
    <row r="135">
      <c r="A135" s="2" t="n">
        <v>114</v>
      </c>
      <c r="B135" s="18">
        <f>B134*(1+$B$7/12)+$B$6</f>
        <v/>
      </c>
    </row>
    <row r="136">
      <c r="A136" s="2" t="n">
        <v>115</v>
      </c>
      <c r="B136" s="18">
        <f>B135*(1+$B$7/12)+$B$6</f>
        <v/>
      </c>
    </row>
    <row r="137">
      <c r="A137" s="2" t="n">
        <v>116</v>
      </c>
      <c r="B137" s="18">
        <f>B136*(1+$B$7/12)+$B$6</f>
        <v/>
      </c>
    </row>
    <row r="138">
      <c r="A138" s="2" t="n">
        <v>117</v>
      </c>
      <c r="B138" s="18">
        <f>B137*(1+$B$7/12)+$B$6</f>
        <v/>
      </c>
    </row>
    <row r="139">
      <c r="A139" s="2" t="n">
        <v>118</v>
      </c>
      <c r="B139" s="18">
        <f>B138*(1+$B$7/12)+$B$6</f>
        <v/>
      </c>
    </row>
    <row r="140">
      <c r="A140" s="2" t="n">
        <v>119</v>
      </c>
      <c r="B140" s="18">
        <f>B139*(1+$B$7/12)+$B$6</f>
        <v/>
      </c>
    </row>
    <row r="141">
      <c r="A141" s="2" t="n">
        <v>120</v>
      </c>
      <c r="B141" s="18">
        <f>B140*(1+$B$7/12)+$B$6</f>
        <v/>
      </c>
    </row>
    <row r="142">
      <c r="A142" s="2" t="n">
        <v>121</v>
      </c>
      <c r="B142" s="18">
        <f>B141*(1+$B$7/12)+$B$6</f>
        <v/>
      </c>
    </row>
    <row r="143">
      <c r="A143" s="2" t="n">
        <v>122</v>
      </c>
      <c r="B143" s="18">
        <f>B142*(1+$B$7/12)+$B$6</f>
        <v/>
      </c>
    </row>
    <row r="144">
      <c r="A144" s="2" t="n">
        <v>123</v>
      </c>
      <c r="B144" s="18">
        <f>B143*(1+$B$7/12)+$B$6</f>
        <v/>
      </c>
    </row>
    <row r="145">
      <c r="A145" s="2" t="n">
        <v>124</v>
      </c>
      <c r="B145" s="18">
        <f>B144*(1+$B$7/12)+$B$6</f>
        <v/>
      </c>
    </row>
    <row r="146">
      <c r="A146" s="2" t="n">
        <v>125</v>
      </c>
      <c r="B146" s="18">
        <f>B145*(1+$B$7/12)+$B$6</f>
        <v/>
      </c>
    </row>
    <row r="147">
      <c r="A147" s="2" t="n">
        <v>126</v>
      </c>
      <c r="B147" s="18">
        <f>B146*(1+$B$7/12)+$B$6</f>
        <v/>
      </c>
    </row>
    <row r="148">
      <c r="A148" s="2" t="n">
        <v>127</v>
      </c>
      <c r="B148" s="18">
        <f>B147*(1+$B$7/12)+$B$6</f>
        <v/>
      </c>
    </row>
    <row r="149">
      <c r="A149" s="2" t="n">
        <v>128</v>
      </c>
      <c r="B149" s="18">
        <f>B148*(1+$B$7/12)+$B$6</f>
        <v/>
      </c>
    </row>
    <row r="150">
      <c r="A150" s="2" t="n">
        <v>129</v>
      </c>
      <c r="B150" s="18">
        <f>B149*(1+$B$7/12)+$B$6</f>
        <v/>
      </c>
    </row>
    <row r="151">
      <c r="A151" s="2" t="n">
        <v>130</v>
      </c>
      <c r="B151" s="18">
        <f>B150*(1+$B$7/12)+$B$6</f>
        <v/>
      </c>
    </row>
    <row r="152">
      <c r="A152" s="2" t="n">
        <v>131</v>
      </c>
      <c r="B152" s="18">
        <f>B151*(1+$B$7/12)+$B$6</f>
        <v/>
      </c>
    </row>
    <row r="153">
      <c r="A153" s="2" t="n">
        <v>132</v>
      </c>
      <c r="B153" s="18">
        <f>B152*(1+$B$7/12)+$B$6</f>
        <v/>
      </c>
    </row>
    <row r="154">
      <c r="A154" s="2" t="n">
        <v>133</v>
      </c>
      <c r="B154" s="18">
        <f>B153*(1+$B$7/12)+$B$6</f>
        <v/>
      </c>
    </row>
    <row r="155">
      <c r="A155" s="2" t="n">
        <v>134</v>
      </c>
      <c r="B155" s="18">
        <f>B154*(1+$B$7/12)+$B$6</f>
        <v/>
      </c>
    </row>
    <row r="156">
      <c r="A156" s="2" t="n">
        <v>135</v>
      </c>
      <c r="B156" s="18">
        <f>B155*(1+$B$7/12)+$B$6</f>
        <v/>
      </c>
    </row>
    <row r="157">
      <c r="A157" s="2" t="n">
        <v>136</v>
      </c>
      <c r="B157" s="18">
        <f>B156*(1+$B$7/12)+$B$6</f>
        <v/>
      </c>
    </row>
    <row r="158">
      <c r="A158" s="2" t="n">
        <v>137</v>
      </c>
      <c r="B158" s="18">
        <f>B157*(1+$B$7/12)+$B$6</f>
        <v/>
      </c>
    </row>
    <row r="159">
      <c r="A159" s="2" t="n">
        <v>138</v>
      </c>
      <c r="B159" s="18">
        <f>B158*(1+$B$7/12)+$B$6</f>
        <v/>
      </c>
    </row>
    <row r="160">
      <c r="A160" s="2" t="n">
        <v>139</v>
      </c>
      <c r="B160" s="18">
        <f>B159*(1+$B$7/12)+$B$6</f>
        <v/>
      </c>
    </row>
    <row r="161">
      <c r="A161" s="2" t="n">
        <v>140</v>
      </c>
      <c r="B161" s="18">
        <f>B160*(1+$B$7/12)+$B$6</f>
        <v/>
      </c>
    </row>
    <row r="162">
      <c r="A162" s="2" t="n">
        <v>141</v>
      </c>
      <c r="B162" s="18">
        <f>B161*(1+$B$7/12)+$B$6</f>
        <v/>
      </c>
    </row>
    <row r="163">
      <c r="A163" s="2" t="n">
        <v>142</v>
      </c>
      <c r="B163" s="18">
        <f>B162*(1+$B$7/12)+$B$6</f>
        <v/>
      </c>
    </row>
    <row r="164">
      <c r="A164" s="2" t="n">
        <v>143</v>
      </c>
      <c r="B164" s="18">
        <f>B163*(1+$B$7/12)+$B$6</f>
        <v/>
      </c>
    </row>
    <row r="165">
      <c r="A165" s="2" t="n">
        <v>144</v>
      </c>
      <c r="B165" s="18">
        <f>B164*(1+$B$7/12)+$B$6</f>
        <v/>
      </c>
    </row>
    <row r="166">
      <c r="A166" s="2" t="n">
        <v>145</v>
      </c>
      <c r="B166" s="18">
        <f>B165*(1+$B$7/12)+$B$6</f>
        <v/>
      </c>
    </row>
    <row r="167">
      <c r="A167" s="2" t="n">
        <v>146</v>
      </c>
      <c r="B167" s="18">
        <f>B166*(1+$B$7/12)+$B$6</f>
        <v/>
      </c>
    </row>
    <row r="168">
      <c r="A168" s="2" t="n">
        <v>147</v>
      </c>
      <c r="B168" s="18">
        <f>B167*(1+$B$7/12)+$B$6</f>
        <v/>
      </c>
    </row>
    <row r="169">
      <c r="A169" s="2" t="n">
        <v>148</v>
      </c>
      <c r="B169" s="18">
        <f>B168*(1+$B$7/12)+$B$6</f>
        <v/>
      </c>
    </row>
    <row r="170">
      <c r="A170" s="2" t="n">
        <v>149</v>
      </c>
      <c r="B170" s="18">
        <f>B169*(1+$B$7/12)+$B$6</f>
        <v/>
      </c>
    </row>
    <row r="171">
      <c r="A171" s="2" t="n">
        <v>150</v>
      </c>
      <c r="B171" s="18">
        <f>B170*(1+$B$7/12)+$B$6</f>
        <v/>
      </c>
    </row>
    <row r="172">
      <c r="A172" s="2" t="n">
        <v>151</v>
      </c>
      <c r="B172" s="18">
        <f>B171*(1+$B$7/12)+$B$6</f>
        <v/>
      </c>
    </row>
    <row r="173">
      <c r="A173" s="2" t="n">
        <v>152</v>
      </c>
      <c r="B173" s="18">
        <f>B172*(1+$B$7/12)+$B$6</f>
        <v/>
      </c>
    </row>
    <row r="174">
      <c r="A174" s="2" t="n">
        <v>153</v>
      </c>
      <c r="B174" s="18">
        <f>B173*(1+$B$7/12)+$B$6</f>
        <v/>
      </c>
    </row>
    <row r="175">
      <c r="A175" s="2" t="n">
        <v>154</v>
      </c>
      <c r="B175" s="18">
        <f>B174*(1+$B$7/12)+$B$6</f>
        <v/>
      </c>
    </row>
    <row r="176">
      <c r="A176" s="2" t="n">
        <v>155</v>
      </c>
      <c r="B176" s="18">
        <f>B175*(1+$B$7/12)+$B$6</f>
        <v/>
      </c>
    </row>
    <row r="177">
      <c r="A177" s="2" t="n">
        <v>156</v>
      </c>
      <c r="B177" s="18">
        <f>B176*(1+$B$7/12)+$B$6</f>
        <v/>
      </c>
    </row>
    <row r="178">
      <c r="A178" s="2" t="n">
        <v>157</v>
      </c>
      <c r="B178" s="18">
        <f>B177*(1+$B$7/12)+$B$6</f>
        <v/>
      </c>
    </row>
    <row r="179">
      <c r="A179" s="2" t="n">
        <v>158</v>
      </c>
      <c r="B179" s="18">
        <f>B178*(1+$B$7/12)+$B$6</f>
        <v/>
      </c>
    </row>
    <row r="180">
      <c r="A180" s="2" t="n">
        <v>159</v>
      </c>
      <c r="B180" s="18">
        <f>B179*(1+$B$7/12)+$B$6</f>
        <v/>
      </c>
    </row>
    <row r="181">
      <c r="A181" s="2" t="n">
        <v>160</v>
      </c>
      <c r="B181" s="18">
        <f>B180*(1+$B$7/12)+$B$6</f>
        <v/>
      </c>
    </row>
    <row r="182">
      <c r="A182" s="2" t="n">
        <v>161</v>
      </c>
      <c r="B182" s="18">
        <f>B181*(1+$B$7/12)+$B$6</f>
        <v/>
      </c>
    </row>
    <row r="183">
      <c r="A183" s="2" t="n">
        <v>162</v>
      </c>
      <c r="B183" s="18">
        <f>B182*(1+$B$7/12)+$B$6</f>
        <v/>
      </c>
    </row>
    <row r="184">
      <c r="A184" s="2" t="n">
        <v>163</v>
      </c>
      <c r="B184" s="18">
        <f>B183*(1+$B$7/12)+$B$6</f>
        <v/>
      </c>
    </row>
    <row r="185">
      <c r="A185" s="2" t="n">
        <v>164</v>
      </c>
      <c r="B185" s="18">
        <f>B184*(1+$B$7/12)+$B$6</f>
        <v/>
      </c>
    </row>
    <row r="186">
      <c r="A186" s="2" t="n">
        <v>165</v>
      </c>
      <c r="B186" s="18">
        <f>B185*(1+$B$7/12)+$B$6</f>
        <v/>
      </c>
    </row>
    <row r="187">
      <c r="A187" s="2" t="n">
        <v>166</v>
      </c>
      <c r="B187" s="18">
        <f>B186*(1+$B$7/12)+$B$6</f>
        <v/>
      </c>
    </row>
    <row r="188">
      <c r="A188" s="2" t="n">
        <v>167</v>
      </c>
      <c r="B188" s="18">
        <f>B187*(1+$B$7/12)+$B$6</f>
        <v/>
      </c>
    </row>
    <row r="189">
      <c r="A189" s="2" t="n">
        <v>168</v>
      </c>
      <c r="B189" s="18">
        <f>B188*(1+$B$7/12)+$B$6</f>
        <v/>
      </c>
    </row>
    <row r="190">
      <c r="A190" s="2" t="n">
        <v>169</v>
      </c>
      <c r="B190" s="18">
        <f>B189*(1+$B$7/12)+$B$6</f>
        <v/>
      </c>
    </row>
    <row r="191">
      <c r="A191" s="2" t="n">
        <v>170</v>
      </c>
      <c r="B191" s="18">
        <f>B190*(1+$B$7/12)+$B$6</f>
        <v/>
      </c>
    </row>
    <row r="192">
      <c r="A192" s="2" t="n">
        <v>171</v>
      </c>
      <c r="B192" s="18">
        <f>B191*(1+$B$7/12)+$B$6</f>
        <v/>
      </c>
    </row>
    <row r="193">
      <c r="A193" s="2" t="n">
        <v>172</v>
      </c>
      <c r="B193" s="18">
        <f>B192*(1+$B$7/12)+$B$6</f>
        <v/>
      </c>
    </row>
    <row r="194">
      <c r="A194" s="2" t="n">
        <v>173</v>
      </c>
      <c r="B194" s="18">
        <f>B193*(1+$B$7/12)+$B$6</f>
        <v/>
      </c>
    </row>
    <row r="195">
      <c r="A195" s="2" t="n">
        <v>174</v>
      </c>
      <c r="B195" s="18">
        <f>B194*(1+$B$7/12)+$B$6</f>
        <v/>
      </c>
    </row>
    <row r="196">
      <c r="A196" s="2" t="n">
        <v>175</v>
      </c>
      <c r="B196" s="18">
        <f>B195*(1+$B$7/12)+$B$6</f>
        <v/>
      </c>
    </row>
    <row r="197">
      <c r="A197" s="2" t="n">
        <v>176</v>
      </c>
      <c r="B197" s="18">
        <f>B196*(1+$B$7/12)+$B$6</f>
        <v/>
      </c>
    </row>
    <row r="198">
      <c r="A198" s="2" t="n">
        <v>177</v>
      </c>
      <c r="B198" s="18">
        <f>B197*(1+$B$7/12)+$B$6</f>
        <v/>
      </c>
    </row>
    <row r="199">
      <c r="A199" s="2" t="n">
        <v>178</v>
      </c>
      <c r="B199" s="18">
        <f>B198*(1+$B$7/12)+$B$6</f>
        <v/>
      </c>
    </row>
    <row r="200">
      <c r="A200" s="2" t="n">
        <v>179</v>
      </c>
      <c r="B200" s="18">
        <f>B199*(1+$B$7/12)+$B$6</f>
        <v/>
      </c>
    </row>
    <row r="201">
      <c r="A201" s="2" t="n">
        <v>180</v>
      </c>
      <c r="B201" s="18">
        <f>B200*(1+$B$7/12)+$B$6</f>
        <v/>
      </c>
    </row>
    <row r="202">
      <c r="A202" s="2" t="n">
        <v>181</v>
      </c>
      <c r="B202" s="18">
        <f>B201*(1+$B$7/12)+$B$6</f>
        <v/>
      </c>
    </row>
    <row r="203">
      <c r="A203" s="2" t="n">
        <v>182</v>
      </c>
      <c r="B203" s="18">
        <f>B202*(1+$B$7/12)+$B$6</f>
        <v/>
      </c>
    </row>
    <row r="204">
      <c r="A204" s="2" t="n">
        <v>183</v>
      </c>
      <c r="B204" s="18">
        <f>B203*(1+$B$7/12)+$B$6</f>
        <v/>
      </c>
    </row>
    <row r="205">
      <c r="A205" s="2" t="n">
        <v>184</v>
      </c>
      <c r="B205" s="18">
        <f>B204*(1+$B$7/12)+$B$6</f>
        <v/>
      </c>
    </row>
    <row r="206">
      <c r="A206" s="2" t="n">
        <v>185</v>
      </c>
      <c r="B206" s="18">
        <f>B205*(1+$B$7/12)+$B$6</f>
        <v/>
      </c>
    </row>
    <row r="207">
      <c r="A207" s="2" t="n">
        <v>186</v>
      </c>
      <c r="B207" s="18">
        <f>B206*(1+$B$7/12)+$B$6</f>
        <v/>
      </c>
    </row>
    <row r="208">
      <c r="A208" s="2" t="n">
        <v>187</v>
      </c>
      <c r="B208" s="18">
        <f>B207*(1+$B$7/12)+$B$6</f>
        <v/>
      </c>
    </row>
    <row r="209">
      <c r="A209" s="2" t="n">
        <v>188</v>
      </c>
      <c r="B209" s="18">
        <f>B208*(1+$B$7/12)+$B$6</f>
        <v/>
      </c>
    </row>
    <row r="210">
      <c r="A210" s="2" t="n">
        <v>189</v>
      </c>
      <c r="B210" s="18">
        <f>B209*(1+$B$7/12)+$B$6</f>
        <v/>
      </c>
    </row>
    <row r="211">
      <c r="A211" s="2" t="n">
        <v>190</v>
      </c>
      <c r="B211" s="18">
        <f>B210*(1+$B$7/12)+$B$6</f>
        <v/>
      </c>
    </row>
    <row r="212">
      <c r="A212" s="2" t="n">
        <v>191</v>
      </c>
      <c r="B212" s="18">
        <f>B211*(1+$B$7/12)+$B$6</f>
        <v/>
      </c>
    </row>
    <row r="213">
      <c r="A213" s="2" t="n">
        <v>192</v>
      </c>
      <c r="B213" s="18">
        <f>B212*(1+$B$7/12)+$B$6</f>
        <v/>
      </c>
    </row>
    <row r="214">
      <c r="A214" s="2" t="n">
        <v>193</v>
      </c>
      <c r="B214" s="18">
        <f>B213*(1+$B$7/12)+$B$6</f>
        <v/>
      </c>
    </row>
    <row r="215">
      <c r="A215" s="2" t="n">
        <v>194</v>
      </c>
      <c r="B215" s="18">
        <f>B214*(1+$B$7/12)+$B$6</f>
        <v/>
      </c>
    </row>
    <row r="216">
      <c r="A216" s="2" t="n">
        <v>195</v>
      </c>
      <c r="B216" s="18">
        <f>B215*(1+$B$7/12)+$B$6</f>
        <v/>
      </c>
    </row>
    <row r="217">
      <c r="A217" s="2" t="n">
        <v>196</v>
      </c>
      <c r="B217" s="18">
        <f>B216*(1+$B$7/12)+$B$6</f>
        <v/>
      </c>
    </row>
    <row r="218">
      <c r="A218" s="2" t="n">
        <v>197</v>
      </c>
      <c r="B218" s="18">
        <f>B217*(1+$B$7/12)+$B$6</f>
        <v/>
      </c>
    </row>
    <row r="219">
      <c r="A219" s="2" t="n">
        <v>198</v>
      </c>
      <c r="B219" s="18">
        <f>B218*(1+$B$7/12)+$B$6</f>
        <v/>
      </c>
    </row>
    <row r="220">
      <c r="A220" s="2" t="n">
        <v>199</v>
      </c>
      <c r="B220" s="18">
        <f>B219*(1+$B$7/12)+$B$6</f>
        <v/>
      </c>
    </row>
    <row r="221">
      <c r="A221" s="2" t="n">
        <v>200</v>
      </c>
      <c r="B221" s="18">
        <f>B220*(1+$B$7/12)+$B$6</f>
        <v/>
      </c>
    </row>
    <row r="222">
      <c r="A222" s="2" t="n">
        <v>201</v>
      </c>
      <c r="B222" s="18">
        <f>B221*(1+$B$7/12)+$B$6</f>
        <v/>
      </c>
    </row>
    <row r="223">
      <c r="A223" s="2" t="n">
        <v>202</v>
      </c>
      <c r="B223" s="18">
        <f>B222*(1+$B$7/12)+$B$6</f>
        <v/>
      </c>
    </row>
    <row r="224">
      <c r="A224" s="2" t="n">
        <v>203</v>
      </c>
      <c r="B224" s="18">
        <f>B223*(1+$B$7/12)+$B$6</f>
        <v/>
      </c>
    </row>
    <row r="225">
      <c r="A225" s="2" t="n">
        <v>204</v>
      </c>
      <c r="B225" s="18">
        <f>B224*(1+$B$7/12)+$B$6</f>
        <v/>
      </c>
    </row>
    <row r="226">
      <c r="A226" s="2" t="n">
        <v>205</v>
      </c>
      <c r="B226" s="18">
        <f>B225*(1+$B$7/12)+$B$6</f>
        <v/>
      </c>
    </row>
    <row r="227">
      <c r="A227" s="2" t="n">
        <v>206</v>
      </c>
      <c r="B227" s="18">
        <f>B226*(1+$B$7/12)+$B$6</f>
        <v/>
      </c>
    </row>
    <row r="228">
      <c r="A228" s="2" t="n">
        <v>207</v>
      </c>
      <c r="B228" s="18">
        <f>B227*(1+$B$7/12)+$B$6</f>
        <v/>
      </c>
    </row>
    <row r="229">
      <c r="A229" s="2" t="n">
        <v>208</v>
      </c>
      <c r="B229" s="18">
        <f>B228*(1+$B$7/12)+$B$6</f>
        <v/>
      </c>
    </row>
    <row r="230">
      <c r="A230" s="2" t="n">
        <v>209</v>
      </c>
      <c r="B230" s="18">
        <f>B229*(1+$B$7/12)+$B$6</f>
        <v/>
      </c>
    </row>
    <row r="231">
      <c r="A231" s="2" t="n">
        <v>210</v>
      </c>
      <c r="B231" s="18">
        <f>B230*(1+$B$7/12)+$B$6</f>
        <v/>
      </c>
    </row>
    <row r="232">
      <c r="A232" s="2" t="n">
        <v>211</v>
      </c>
      <c r="B232" s="18">
        <f>B231*(1+$B$7/12)+$B$6</f>
        <v/>
      </c>
    </row>
    <row r="233">
      <c r="A233" s="2" t="n">
        <v>212</v>
      </c>
      <c r="B233" s="18">
        <f>B232*(1+$B$7/12)+$B$6</f>
        <v/>
      </c>
    </row>
    <row r="234">
      <c r="A234" s="2" t="n">
        <v>213</v>
      </c>
      <c r="B234" s="18">
        <f>B233*(1+$B$7/12)+$B$6</f>
        <v/>
      </c>
    </row>
    <row r="235">
      <c r="A235" s="2" t="n">
        <v>214</v>
      </c>
      <c r="B235" s="18">
        <f>B234*(1+$B$7/12)+$B$6</f>
        <v/>
      </c>
    </row>
    <row r="236">
      <c r="A236" s="2" t="n">
        <v>215</v>
      </c>
      <c r="B236" s="18">
        <f>B235*(1+$B$7/12)+$B$6</f>
        <v/>
      </c>
    </row>
    <row r="237">
      <c r="A237" s="2" t="n">
        <v>216</v>
      </c>
      <c r="B237" s="18">
        <f>B236*(1+$B$7/12)+$B$6</f>
        <v/>
      </c>
    </row>
    <row r="238">
      <c r="A238" s="2" t="n">
        <v>217</v>
      </c>
      <c r="B238" s="18">
        <f>B237*(1+$B$7/12)+$B$6</f>
        <v/>
      </c>
    </row>
    <row r="239">
      <c r="A239" s="2" t="n">
        <v>218</v>
      </c>
      <c r="B239" s="18">
        <f>B238*(1+$B$7/12)+$B$6</f>
        <v/>
      </c>
    </row>
    <row r="240">
      <c r="A240" s="2" t="n">
        <v>219</v>
      </c>
      <c r="B240" s="18">
        <f>B239*(1+$B$7/12)+$B$6</f>
        <v/>
      </c>
    </row>
    <row r="241">
      <c r="A241" s="2" t="n">
        <v>220</v>
      </c>
      <c r="B241" s="18">
        <f>B240*(1+$B$7/12)+$B$6</f>
        <v/>
      </c>
    </row>
    <row r="242">
      <c r="A242" s="2" t="n">
        <v>221</v>
      </c>
      <c r="B242" s="18">
        <f>B241*(1+$B$7/12)+$B$6</f>
        <v/>
      </c>
    </row>
    <row r="243">
      <c r="A243" s="2" t="n">
        <v>222</v>
      </c>
      <c r="B243" s="18">
        <f>B242*(1+$B$7/12)+$B$6</f>
        <v/>
      </c>
    </row>
    <row r="244">
      <c r="A244" s="2" t="n">
        <v>223</v>
      </c>
      <c r="B244" s="18">
        <f>B243*(1+$B$7/12)+$B$6</f>
        <v/>
      </c>
    </row>
    <row r="245">
      <c r="A245" s="2" t="n">
        <v>224</v>
      </c>
      <c r="B245" s="18">
        <f>B244*(1+$B$7/12)+$B$6</f>
        <v/>
      </c>
    </row>
    <row r="246">
      <c r="A246" s="2" t="n">
        <v>225</v>
      </c>
      <c r="B246" s="18">
        <f>B245*(1+$B$7/12)+$B$6</f>
        <v/>
      </c>
    </row>
    <row r="247">
      <c r="A247" s="2" t="n">
        <v>226</v>
      </c>
      <c r="B247" s="18">
        <f>B246*(1+$B$7/12)+$B$6</f>
        <v/>
      </c>
    </row>
    <row r="248">
      <c r="A248" s="2" t="n">
        <v>227</v>
      </c>
      <c r="B248" s="18">
        <f>B247*(1+$B$7/12)+$B$6</f>
        <v/>
      </c>
    </row>
    <row r="249">
      <c r="A249" s="2" t="n">
        <v>228</v>
      </c>
      <c r="B249" s="18">
        <f>B248*(1+$B$7/12)+$B$6</f>
        <v/>
      </c>
    </row>
    <row r="250">
      <c r="A250" s="2" t="n">
        <v>229</v>
      </c>
      <c r="B250" s="18">
        <f>B249*(1+$B$7/12)+$B$6</f>
        <v/>
      </c>
    </row>
    <row r="251">
      <c r="A251" s="2" t="n">
        <v>230</v>
      </c>
      <c r="B251" s="18">
        <f>B250*(1+$B$7/12)+$B$6</f>
        <v/>
      </c>
    </row>
    <row r="252">
      <c r="A252" s="2" t="n">
        <v>231</v>
      </c>
      <c r="B252" s="18">
        <f>B251*(1+$B$7/12)+$B$6</f>
        <v/>
      </c>
    </row>
    <row r="253">
      <c r="A253" s="2" t="n">
        <v>232</v>
      </c>
      <c r="B253" s="18">
        <f>B252*(1+$B$7/12)+$B$6</f>
        <v/>
      </c>
    </row>
    <row r="254">
      <c r="A254" s="2" t="n">
        <v>233</v>
      </c>
      <c r="B254" s="18">
        <f>B253*(1+$B$7/12)+$B$6</f>
        <v/>
      </c>
    </row>
    <row r="255">
      <c r="A255" s="2" t="n">
        <v>234</v>
      </c>
      <c r="B255" s="18">
        <f>B254*(1+$B$7/12)+$B$6</f>
        <v/>
      </c>
    </row>
    <row r="256">
      <c r="A256" s="2" t="n">
        <v>235</v>
      </c>
      <c r="B256" s="18">
        <f>B255*(1+$B$7/12)+$B$6</f>
        <v/>
      </c>
    </row>
    <row r="257">
      <c r="A257" s="2" t="n">
        <v>236</v>
      </c>
      <c r="B257" s="18">
        <f>B256*(1+$B$7/12)+$B$6</f>
        <v/>
      </c>
    </row>
    <row r="258">
      <c r="A258" s="2" t="n">
        <v>237</v>
      </c>
      <c r="B258" s="18">
        <f>B257*(1+$B$7/12)+$B$6</f>
        <v/>
      </c>
    </row>
    <row r="259">
      <c r="A259" s="2" t="n">
        <v>238</v>
      </c>
      <c r="B259" s="18">
        <f>B258*(1+$B$7/12)+$B$6</f>
        <v/>
      </c>
    </row>
    <row r="260">
      <c r="A260" s="2" t="n">
        <v>239</v>
      </c>
      <c r="B260" s="18">
        <f>B259*(1+$B$7/12)+$B$6</f>
        <v/>
      </c>
    </row>
    <row r="261">
      <c r="A261" s="2" t="n">
        <v>240</v>
      </c>
      <c r="B261" s="18">
        <f>B260*(1+$B$7/12)+$B$6</f>
        <v/>
      </c>
    </row>
  </sheetData>
  <mergeCells count="5">
    <mergeCell ref="A4:E4"/>
    <mergeCell ref="A20:E20"/>
    <mergeCell ref="A2:E2"/>
    <mergeCell ref="A1:E1"/>
    <mergeCell ref="A9:E9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2" customWidth="1" min="4" max="4"/>
    <col width="14" customWidth="1" min="5" max="5"/>
    <col width="34" customWidth="1" min="6" max="6"/>
  </cols>
  <sheetData>
    <row r="1">
      <c r="A1" s="1" t="inlineStr">
        <is>
          <t>Client &amp; Retainer Tracker</t>
        </is>
      </c>
    </row>
    <row r="2">
      <c r="A2" s="2" t="inlineStr">
        <is>
          <t>Every client feeding the Dashboard's revenue numbers. Delete the example row once you have real data.</t>
        </is>
      </c>
    </row>
    <row r="4">
      <c r="A4" s="9" t="inlineStr">
        <is>
          <t>Client name</t>
        </is>
      </c>
      <c r="B4" s="9" t="inlineStr">
        <is>
          <t>Type</t>
        </is>
      </c>
      <c r="C4" s="9" t="inlineStr">
        <is>
          <t>Monthly value (R$)</t>
        </is>
      </c>
      <c r="D4" s="9" t="inlineStr">
        <is>
          <t>Status</t>
        </is>
      </c>
      <c r="E4" s="9" t="inlineStr">
        <is>
          <t>Start date</t>
        </is>
      </c>
      <c r="F4" s="9" t="inlineStr">
        <is>
          <t>Notes</t>
        </is>
      </c>
    </row>
    <row r="5">
      <c r="A5" s="19" t="inlineStr">
        <is>
          <t>Example Client — Acme Co</t>
        </is>
      </c>
      <c r="B5" s="19" t="inlineStr">
        <is>
          <t>Retainer</t>
        </is>
      </c>
      <c r="C5" s="20" t="n">
        <v>1500</v>
      </c>
      <c r="D5" s="19" t="inlineStr">
        <is>
          <t>Active</t>
        </is>
      </c>
      <c r="E5" s="19" t="inlineStr">
        <is>
          <t>2026-01-01</t>
        </is>
      </c>
      <c r="F5" s="21" t="inlineStr">
        <is>
          <t>EXAMPLE ROW — delete or overwrite</t>
        </is>
      </c>
    </row>
    <row r="6">
      <c r="A6" s="6" t="inlineStr"/>
      <c r="B6" s="6" t="inlineStr"/>
      <c r="C6" s="7" t="inlineStr"/>
      <c r="D6" s="6" t="inlineStr"/>
      <c r="E6" s="6" t="inlineStr"/>
      <c r="F6" s="15" t="inlineStr"/>
    </row>
    <row r="7">
      <c r="A7" s="6" t="inlineStr"/>
      <c r="B7" s="6" t="inlineStr"/>
      <c r="C7" s="7" t="inlineStr"/>
      <c r="D7" s="6" t="inlineStr"/>
      <c r="E7" s="6" t="inlineStr"/>
      <c r="F7" s="15" t="inlineStr"/>
    </row>
    <row r="8">
      <c r="A8" s="6" t="inlineStr"/>
      <c r="B8" s="6" t="inlineStr"/>
      <c r="C8" s="7" t="inlineStr"/>
      <c r="D8" s="6" t="inlineStr"/>
      <c r="E8" s="6" t="inlineStr"/>
      <c r="F8" s="15" t="inlineStr"/>
    </row>
    <row r="9">
      <c r="A9" s="6" t="inlineStr"/>
      <c r="B9" s="6" t="inlineStr"/>
      <c r="C9" s="7" t="inlineStr"/>
      <c r="D9" s="6" t="inlineStr"/>
      <c r="E9" s="6" t="inlineStr"/>
      <c r="F9" s="15" t="inlineStr"/>
    </row>
    <row r="10">
      <c r="A10" s="6" t="inlineStr"/>
      <c r="B10" s="6" t="inlineStr"/>
      <c r="C10" s="7" t="inlineStr"/>
      <c r="D10" s="6" t="inlineStr"/>
      <c r="E10" s="6" t="inlineStr"/>
      <c r="F10" s="15" t="inlineStr"/>
    </row>
    <row r="11">
      <c r="A11" s="6" t="inlineStr"/>
      <c r="B11" s="6" t="inlineStr"/>
      <c r="C11" s="7" t="inlineStr"/>
      <c r="D11" s="6" t="inlineStr"/>
      <c r="E11" s="6" t="inlineStr"/>
      <c r="F11" s="15" t="inlineStr"/>
    </row>
    <row r="12">
      <c r="A12" s="6" t="inlineStr"/>
      <c r="B12" s="6" t="inlineStr"/>
      <c r="C12" s="7" t="inlineStr"/>
      <c r="D12" s="6" t="inlineStr"/>
      <c r="E12" s="6" t="inlineStr"/>
      <c r="F12" s="15" t="inlineStr"/>
    </row>
    <row r="13">
      <c r="A13" s="6" t="inlineStr"/>
      <c r="B13" s="6" t="inlineStr"/>
      <c r="C13" s="7" t="inlineStr"/>
      <c r="D13" s="6" t="inlineStr"/>
      <c r="E13" s="6" t="inlineStr"/>
      <c r="F13" s="15" t="inlineStr"/>
    </row>
    <row r="14">
      <c r="A14" s="6" t="inlineStr"/>
      <c r="B14" s="6" t="inlineStr"/>
      <c r="C14" s="7" t="inlineStr"/>
      <c r="D14" s="6" t="inlineStr"/>
      <c r="E14" s="6" t="inlineStr"/>
      <c r="F14" s="15" t="inlineStr"/>
    </row>
    <row r="15">
      <c r="A15" s="6" t="inlineStr"/>
      <c r="B15" s="6" t="inlineStr"/>
      <c r="C15" s="7" t="inlineStr"/>
      <c r="D15" s="6" t="inlineStr"/>
      <c r="E15" s="6" t="inlineStr"/>
      <c r="F15" s="15" t="inlineStr"/>
    </row>
    <row r="16">
      <c r="A16" s="6" t="inlineStr"/>
      <c r="B16" s="6" t="inlineStr"/>
      <c r="C16" s="7" t="inlineStr"/>
      <c r="D16" s="6" t="inlineStr"/>
      <c r="E16" s="6" t="inlineStr"/>
      <c r="F16" s="15" t="inlineStr"/>
    </row>
    <row r="17">
      <c r="A17" s="6" t="inlineStr"/>
      <c r="B17" s="6" t="inlineStr"/>
      <c r="C17" s="7" t="inlineStr"/>
      <c r="D17" s="6" t="inlineStr"/>
      <c r="E17" s="6" t="inlineStr"/>
      <c r="F17" s="15" t="inlineStr"/>
    </row>
    <row r="18">
      <c r="A18" s="6" t="inlineStr"/>
      <c r="B18" s="6" t="inlineStr"/>
      <c r="C18" s="7" t="inlineStr"/>
      <c r="D18" s="6" t="inlineStr"/>
      <c r="E18" s="6" t="inlineStr"/>
      <c r="F18" s="15" t="inlineStr"/>
    </row>
    <row r="19">
      <c r="A19" s="6" t="inlineStr"/>
      <c r="B19" s="6" t="inlineStr"/>
      <c r="C19" s="7" t="inlineStr"/>
      <c r="D19" s="6" t="inlineStr"/>
      <c r="E19" s="6" t="inlineStr"/>
      <c r="F19" s="15" t="inlineStr"/>
    </row>
    <row r="20">
      <c r="A20" s="6" t="inlineStr"/>
      <c r="B20" s="6" t="inlineStr"/>
      <c r="C20" s="7" t="inlineStr"/>
      <c r="D20" s="6" t="inlineStr"/>
      <c r="E20" s="6" t="inlineStr"/>
      <c r="F20" s="15" t="inlineStr"/>
    </row>
    <row r="21">
      <c r="A21" s="6" t="inlineStr"/>
      <c r="B21" s="6" t="inlineStr"/>
      <c r="C21" s="7" t="inlineStr"/>
      <c r="D21" s="6" t="inlineStr"/>
      <c r="E21" s="6" t="inlineStr"/>
      <c r="F21" s="15" t="inlineStr"/>
    </row>
    <row r="22">
      <c r="A22" s="6" t="inlineStr"/>
      <c r="B22" s="6" t="inlineStr"/>
      <c r="C22" s="7" t="inlineStr"/>
      <c r="D22" s="6" t="inlineStr"/>
      <c r="E22" s="6" t="inlineStr"/>
      <c r="F22" s="15" t="inlineStr"/>
    </row>
    <row r="23">
      <c r="A23" s="6" t="inlineStr"/>
      <c r="B23" s="6" t="inlineStr"/>
      <c r="C23" s="7" t="inlineStr"/>
      <c r="D23" s="6" t="inlineStr"/>
      <c r="E23" s="6" t="inlineStr"/>
      <c r="F23" s="15" t="inlineStr"/>
    </row>
    <row r="24">
      <c r="A24" s="6" t="inlineStr"/>
      <c r="B24" s="6" t="inlineStr"/>
      <c r="C24" s="7" t="inlineStr"/>
      <c r="D24" s="6" t="inlineStr"/>
      <c r="E24" s="6" t="inlineStr"/>
      <c r="F24" s="15" t="inlineStr"/>
    </row>
    <row r="25">
      <c r="A25" s="6" t="inlineStr"/>
      <c r="B25" s="6" t="inlineStr"/>
      <c r="C25" s="7" t="inlineStr"/>
      <c r="D25" s="6" t="inlineStr"/>
      <c r="E25" s="6" t="inlineStr"/>
      <c r="F25" s="15" t="inlineStr"/>
    </row>
    <row r="27">
      <c r="A27" s="4" t="inlineStr">
        <is>
          <t>Total active retainer MRR (R$)</t>
        </is>
      </c>
      <c r="B27" s="18">
        <f>SUMIFS(C5:C25,B5:B25,"Retainer",D5:D25,"Active")</f>
        <v/>
      </c>
    </row>
    <row r="28">
      <c r="A28" s="4" t="inlineStr">
        <is>
          <t>Active retainer client count</t>
        </is>
      </c>
      <c r="B28" s="2">
        <f>COUNTIFS(B5:B25,"Retainer",D5:D25,"Active")</f>
        <v/>
      </c>
    </row>
    <row r="29">
      <c r="A29" s="4" t="inlineStr">
        <is>
          <t>Total active monthly revenue, all types (R$)</t>
        </is>
      </c>
      <c r="B29" s="18">
        <f>SUMIFS(C5:C25,D5:D25,"Active")</f>
        <v/>
      </c>
    </row>
  </sheetData>
  <mergeCells count="2">
    <mergeCell ref="A2:F2"/>
    <mergeCell ref="A1:F1"/>
  </mergeCells>
  <dataValidations count="2">
    <dataValidation sqref="B5:B25" showDropDown="0" showInputMessage="0" showErrorMessage="0" allowBlank="1" type="list">
      <formula1>"Retainer,One-off"</formula1>
    </dataValidation>
    <dataValidation sqref="D5:D25" showDropDown="0" showInputMessage="0" showErrorMessage="0" allowBlank="1" type="list">
      <formula1>"Active,Prospect,Paused,Lost"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52" customWidth="1" min="3" max="3"/>
    <col width="14" customWidth="1" min="4" max="4"/>
    <col width="14" customWidth="1" min="5" max="5"/>
    <col width="34" customWidth="1" min="6" max="6"/>
  </cols>
  <sheetData>
    <row r="1">
      <c r="A1" s="1" t="inlineStr">
        <is>
          <t>Action Checklist</t>
        </is>
      </c>
    </row>
    <row r="2">
      <c r="A2" s="2" t="inlineStr">
        <is>
          <t>Sourced from the strategic plan's Phase 5 (implementation goals) and Master Enrichment Plan (top 5 priorities).</t>
        </is>
      </c>
    </row>
    <row r="4">
      <c r="A4" s="9" t="inlineStr">
        <is>
          <t>#</t>
        </is>
      </c>
      <c r="B4" s="9" t="inlineStr">
        <is>
          <t>Horizon</t>
        </is>
      </c>
      <c r="C4" s="9" t="inlineStr">
        <is>
          <t>Action</t>
        </is>
      </c>
      <c r="D4" s="9" t="inlineStr">
        <is>
          <t>Target date</t>
        </is>
      </c>
      <c r="E4" s="9" t="inlineStr">
        <is>
          <t>Status</t>
        </is>
      </c>
      <c r="F4" s="9" t="inlineStr">
        <is>
          <t>Notes</t>
        </is>
      </c>
    </row>
    <row r="5">
      <c r="A5" s="10" t="n">
        <v>1</v>
      </c>
      <c r="B5" s="10" t="inlineStr">
        <is>
          <t>This year</t>
        </is>
      </c>
      <c r="C5" s="22" t="inlineStr">
        <is>
          <t>Package your four skills into one clear, priced offer — stop selling hours, start selling outcomes.</t>
        </is>
      </c>
      <c r="D5" s="23" t="inlineStr"/>
      <c r="E5" s="6" t="inlineStr">
        <is>
          <t>Not started</t>
        </is>
      </c>
      <c r="F5" s="15" t="inlineStr"/>
    </row>
    <row r="6">
      <c r="A6" s="10" t="n">
        <v>2</v>
      </c>
      <c r="B6" s="10" t="inlineStr">
        <is>
          <t>This year</t>
        </is>
      </c>
      <c r="C6" s="22" t="inlineStr">
        <is>
          <t>Convert at least 2 clients to retainers within 90 days — recurring revenue is the foundation everything else stands on.</t>
        </is>
      </c>
      <c r="D6" s="23" t="inlineStr"/>
      <c r="E6" s="6" t="inlineStr">
        <is>
          <t>Not started</t>
        </is>
      </c>
      <c r="F6" s="15" t="inlineStr"/>
    </row>
    <row r="7">
      <c r="A7" s="10" t="n">
        <v>3</v>
      </c>
      <c r="B7" s="10" t="inlineStr">
        <is>
          <t>This year</t>
        </is>
      </c>
      <c r="C7" s="22" t="inlineStr">
        <is>
          <t>Build a 3-month emergency fund before investing a single real elsewhere.</t>
        </is>
      </c>
      <c r="D7" s="23" t="inlineStr"/>
      <c r="E7" s="6" t="inlineStr">
        <is>
          <t>Not started</t>
        </is>
      </c>
      <c r="F7" s="15" t="inlineStr"/>
    </row>
    <row r="8">
      <c r="A8" s="10" t="n">
        <v>4</v>
      </c>
      <c r="B8" s="10" t="inlineStr">
        <is>
          <t>This year</t>
        </is>
      </c>
      <c r="C8" s="22" t="inlineStr">
        <is>
          <t>Once stable, automate monthly investing into a diversified, low-fee portfolio — consistency matters more than timing.</t>
        </is>
      </c>
      <c r="D8" s="23" t="inlineStr"/>
      <c r="E8" s="6" t="inlineStr">
        <is>
          <t>Not started</t>
        </is>
      </c>
      <c r="F8" s="15" t="inlineStr"/>
    </row>
    <row r="9">
      <c r="A9" s="10" t="n">
        <v>5</v>
      </c>
      <c r="B9" s="10" t="inlineStr">
        <is>
          <t>This year</t>
        </is>
      </c>
      <c r="C9" s="22" t="inlineStr">
        <is>
          <t>Delegate execution work as revenue allows, so your time shifts toward strategy and relationships.</t>
        </is>
      </c>
      <c r="D9" s="23" t="inlineStr"/>
      <c r="E9" s="6" t="inlineStr">
        <is>
          <t>Not started</t>
        </is>
      </c>
      <c r="F9" s="15" t="inlineStr"/>
    </row>
    <row r="10">
      <c r="A10" s="10" t="n">
        <v>6</v>
      </c>
      <c r="B10" s="10" t="inlineStr">
        <is>
          <t>30-day</t>
        </is>
      </c>
      <c r="C10" s="22" t="inlineStr">
        <is>
          <t>Revenue: land or renew 2 clients at a rate 20% above your current average.</t>
        </is>
      </c>
      <c r="D10" s="23" t="inlineStr"/>
      <c r="E10" s="6" t="inlineStr">
        <is>
          <t>Not started</t>
        </is>
      </c>
      <c r="F10" s="15" t="inlineStr"/>
    </row>
    <row r="11">
      <c r="A11" s="10" t="n">
        <v>7</v>
      </c>
      <c r="B11" s="10" t="inlineStr">
        <is>
          <t>30-day</t>
        </is>
      </c>
      <c r="C11" s="22" t="inlineStr">
        <is>
          <t>Profit: bank the first R$1,000 toward your emergency fund.</t>
        </is>
      </c>
      <c r="D11" s="23" t="inlineStr"/>
      <c r="E11" s="6" t="inlineStr">
        <is>
          <t>Not started</t>
        </is>
      </c>
      <c r="F11" s="15" t="inlineStr"/>
    </row>
    <row r="12">
      <c r="A12" s="10" t="n">
        <v>8</v>
      </c>
      <c r="B12" s="10" t="inlineStr">
        <is>
          <t>30-day</t>
        </is>
      </c>
      <c r="C12" s="22" t="inlineStr">
        <is>
          <t>Heritage: define your niche and offer in one sentence you can say confidently.</t>
        </is>
      </c>
      <c r="D12" s="23" t="inlineStr"/>
      <c r="E12" s="6" t="inlineStr">
        <is>
          <t>Not started</t>
        </is>
      </c>
      <c r="F12" s="15" t="inlineStr"/>
    </row>
    <row r="13">
      <c r="A13" s="10" t="n">
        <v>9</v>
      </c>
      <c r="B13" s="10" t="inlineStr">
        <is>
          <t>30-day</t>
        </is>
      </c>
      <c r="C13" s="22" t="inlineStr">
        <is>
          <t>Investment: none yet — capital stays liquid.</t>
        </is>
      </c>
      <c r="D13" s="23" t="inlineStr"/>
      <c r="E13" s="6" t="inlineStr">
        <is>
          <t>Not started</t>
        </is>
      </c>
      <c r="F13" s="15" t="inlineStr"/>
    </row>
    <row r="14">
      <c r="A14" s="10" t="n">
        <v>10</v>
      </c>
      <c r="B14" s="10" t="inlineStr">
        <is>
          <t>90-day</t>
        </is>
      </c>
      <c r="C14" s="22" t="inlineStr">
        <is>
          <t>Revenue: R$4,500–6,000/month recurring or predictable (2–3x current).</t>
        </is>
      </c>
      <c r="D14" s="23" t="inlineStr"/>
      <c r="E14" s="6" t="inlineStr">
        <is>
          <t>Not started</t>
        </is>
      </c>
      <c r="F14" s="15" t="inlineStr"/>
    </row>
    <row r="15">
      <c r="A15" s="10" t="n">
        <v>11</v>
      </c>
      <c r="B15" s="10" t="inlineStr">
        <is>
          <t>90-day</t>
        </is>
      </c>
      <c r="C15" s="22" t="inlineStr">
        <is>
          <t>Profit: 3-month emergency fund roughly in place.</t>
        </is>
      </c>
      <c r="D15" s="23" t="inlineStr"/>
      <c r="E15" s="6" t="inlineStr">
        <is>
          <t>Not started</t>
        </is>
      </c>
      <c r="F15" s="15" t="inlineStr"/>
    </row>
    <row r="16">
      <c r="A16" s="10" t="n">
        <v>12</v>
      </c>
      <c r="B16" s="10" t="inlineStr">
        <is>
          <t>90-day</t>
        </is>
      </c>
      <c r="C16" s="22" t="inlineStr">
        <is>
          <t>Heritage: a simple portfolio site and one consistent content/outreach channel running.</t>
        </is>
      </c>
      <c r="D16" s="23" t="inlineStr"/>
      <c r="E16" s="6" t="inlineStr">
        <is>
          <t>Not started</t>
        </is>
      </c>
      <c r="F16" s="15" t="inlineStr"/>
    </row>
    <row r="17">
      <c r="A17" s="10" t="n">
        <v>13</v>
      </c>
      <c r="B17" s="10" t="inlineStr">
        <is>
          <t>90-day</t>
        </is>
      </c>
      <c r="C17" s="22" t="inlineStr">
        <is>
          <t>Investment: open a low-cost liquid investment account, even if not yet funding it heavily.</t>
        </is>
      </c>
      <c r="D17" s="23" t="inlineStr"/>
      <c r="E17" s="6" t="inlineStr">
        <is>
          <t>Not started</t>
        </is>
      </c>
      <c r="F17" s="15" t="inlineStr"/>
    </row>
    <row r="18">
      <c r="A18" s="10" t="n">
        <v>14</v>
      </c>
      <c r="B18" s="10" t="inlineStr">
        <is>
          <t>1-year</t>
        </is>
      </c>
      <c r="C18" s="22" t="inlineStr">
        <is>
          <t>Revenue: R$8,000–10,000/month, majority from retainers.</t>
        </is>
      </c>
      <c r="D18" s="23" t="inlineStr"/>
      <c r="E18" s="6" t="inlineStr">
        <is>
          <t>Not started</t>
        </is>
      </c>
      <c r="F18" s="15" t="inlineStr"/>
    </row>
    <row r="19">
      <c r="A19" s="10" t="n">
        <v>15</v>
      </c>
      <c r="B19" s="10" t="inlineStr">
        <is>
          <t>1-year</t>
        </is>
      </c>
      <c r="C19" s="22" t="inlineStr">
        <is>
          <t>Profit: R$10,000–15,000 saved/invested beyond the emergency fund.</t>
        </is>
      </c>
      <c r="D19" s="23" t="inlineStr"/>
      <c r="E19" s="6" t="inlineStr">
        <is>
          <t>Not started</t>
        </is>
      </c>
      <c r="F19" s="15" t="inlineStr"/>
    </row>
    <row r="20">
      <c r="A20" s="10" t="n">
        <v>16</v>
      </c>
      <c r="B20" s="10" t="inlineStr">
        <is>
          <t>1-year</t>
        </is>
      </c>
      <c r="C20" s="22" t="inlineStr">
        <is>
          <t>Heritage: a recognizable personal brand in your niche; referrals becoming a real source of leads.</t>
        </is>
      </c>
      <c r="D20" s="23" t="inlineStr"/>
      <c r="E20" s="6" t="inlineStr">
        <is>
          <t>Not started</t>
        </is>
      </c>
      <c r="F20" s="15" t="inlineStr"/>
    </row>
    <row r="21">
      <c r="A21" s="10" t="n">
        <v>17</v>
      </c>
      <c r="B21" s="10" t="inlineStr">
        <is>
          <t>1-year</t>
        </is>
      </c>
      <c r="C21" s="22" t="inlineStr">
        <is>
          <t>Investment: regular monthly contribution to a diversified low-fee investment, on autopilot.</t>
        </is>
      </c>
      <c r="D21" s="23" t="inlineStr"/>
      <c r="E21" s="6" t="inlineStr">
        <is>
          <t>Not started</t>
        </is>
      </c>
      <c r="F21" s="15" t="inlineStr"/>
    </row>
    <row r="22">
      <c r="A22" s="10" t="n">
        <v>18</v>
      </c>
      <c r="B22" s="10" t="inlineStr">
        <is>
          <t>3-year</t>
        </is>
      </c>
      <c r="C22" s="22" t="inlineStr">
        <is>
          <t>Revenue: R$15,000–25,000/month, with at least one delegated/scaled income stream.</t>
        </is>
      </c>
      <c r="D22" s="23" t="inlineStr"/>
      <c r="E22" s="6" t="inlineStr">
        <is>
          <t>Not started</t>
        </is>
      </c>
      <c r="F22" s="15" t="inlineStr"/>
    </row>
    <row r="23">
      <c r="A23" s="10" t="n">
        <v>19</v>
      </c>
      <c r="B23" s="10" t="inlineStr">
        <is>
          <t>3-year</t>
        </is>
      </c>
      <c r="C23" s="22" t="inlineStr">
        <is>
          <t>Profit: R$100,000+ net worth, split between liquid emergency fund and invested assets.</t>
        </is>
      </c>
      <c r="D23" s="23" t="inlineStr"/>
      <c r="E23" s="6" t="inlineStr">
        <is>
          <t>Not started</t>
        </is>
      </c>
      <c r="F23" s="15" t="inlineStr"/>
    </row>
    <row r="24">
      <c r="A24" s="10" t="n">
        <v>20</v>
      </c>
      <c r="B24" s="10" t="inlineStr">
        <is>
          <t>3-year</t>
        </is>
      </c>
      <c r="C24" s="22" t="inlineStr">
        <is>
          <t>Heritage: a business that could run a few weeks without you, not a freelance identity dependent entirely on your hours.</t>
        </is>
      </c>
      <c r="D24" s="23" t="inlineStr"/>
      <c r="E24" s="6" t="inlineStr">
        <is>
          <t>Not started</t>
        </is>
      </c>
      <c r="F24" s="15" t="inlineStr"/>
    </row>
    <row r="25">
      <c r="A25" s="10" t="n">
        <v>21</v>
      </c>
      <c r="B25" s="10" t="inlineStr">
        <is>
          <t>3-year</t>
        </is>
      </c>
      <c r="C25" s="22" t="inlineStr">
        <is>
          <t>Investment: diversified portfolio in place; on track toward the R$500k milestone within another 3–5 years.</t>
        </is>
      </c>
      <c r="D25" s="23" t="inlineStr"/>
      <c r="E25" s="6" t="inlineStr">
        <is>
          <t>Not started</t>
        </is>
      </c>
      <c r="F25" s="15" t="inlineStr"/>
    </row>
  </sheetData>
  <mergeCells count="2">
    <mergeCell ref="A2:F2"/>
    <mergeCell ref="A1:F1"/>
  </mergeCells>
  <dataValidations count="1">
    <dataValidation sqref="E5:E25" showDropDown="0" showInputMessage="0" showErrorMessage="0" allowBlank="1" type="list">
      <formula1>"Not started,In progress,Done"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2026-08-17T08:49:10Z</dcterms:created>
  <dcterms:modified xmlns:dcterms="http://purl.org/dc/terms/" xmlns:xsi="http://www.w3.org/2001/XMLSchema-instance" xsi:type="dcterms:W3CDTF">2026-08-17T08:49:10Z</dcterms:modified>
</cp:coreProperties>
</file>